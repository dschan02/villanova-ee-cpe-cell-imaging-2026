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villanova.sharepoint.com/teams/ECECapstoneCohort2026-CellImaging/Shared Documents/Cell Imaging/Spring 2026/"/>
    </mc:Choice>
  </mc:AlternateContent>
  <xr:revisionPtr revIDLastSave="484" documentId="8_{90306E0A-E6C7-4F99-9478-AD0674F6E5D9}" xr6:coauthVersionLast="47" xr6:coauthVersionMax="47" xr10:uidLastSave="{F580DAE6-149B-4EAA-8829-38E3DC86A076}"/>
  <bookViews>
    <workbookView xWindow="-107" yWindow="-107" windowWidth="20847" windowHeight="11111"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11" l="1"/>
  <c r="H48" i="11"/>
  <c r="H47" i="11"/>
  <c r="H46" i="11"/>
  <c r="H45" i="11"/>
  <c r="H44" i="11"/>
  <c r="H42" i="11"/>
  <c r="H41" i="11"/>
  <c r="H40" i="11"/>
  <c r="H38" i="11"/>
  <c r="H36" i="11"/>
  <c r="H35" i="11"/>
  <c r="H34" i="11"/>
  <c r="H33" i="11"/>
  <c r="E31" i="11"/>
  <c r="F18" i="11"/>
  <c r="H7" i="11"/>
  <c r="E9" i="11" l="1"/>
  <c r="I5" i="11" l="1"/>
  <c r="H14" i="11"/>
  <c r="H8" i="11"/>
  <c r="H23" i="11" l="1"/>
  <c r="H9" i="11"/>
  <c r="E17" i="11"/>
  <c r="E18" i="11" s="1"/>
  <c r="I6" i="11"/>
  <c r="H27" i="11" l="1"/>
  <c r="H26" i="11"/>
  <c r="H10" i="11"/>
  <c r="H25" i="11"/>
  <c r="H15" i="11"/>
  <c r="F11" i="11"/>
  <c r="J5" i="11"/>
  <c r="K5" i="11" s="1"/>
  <c r="L5" i="11" s="1"/>
  <c r="M5" i="11" s="1"/>
  <c r="N5" i="11" s="1"/>
  <c r="O5" i="11" s="1"/>
  <c r="P5" i="11" s="1"/>
  <c r="I4" i="11"/>
  <c r="H29" i="11" l="1"/>
  <c r="H32" i="11"/>
  <c r="H17" i="11"/>
  <c r="H11" i="11"/>
  <c r="H13" i="11"/>
  <c r="P4" i="11"/>
  <c r="Q5" i="11"/>
  <c r="R5" i="11" s="1"/>
  <c r="S5" i="11" s="1"/>
  <c r="T5" i="11" s="1"/>
  <c r="U5" i="11" s="1"/>
  <c r="V5" i="11" s="1"/>
  <c r="W5" i="11" s="1"/>
  <c r="J6" i="11"/>
  <c r="H28" i="11" l="1"/>
  <c r="H19"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<sst xmlns="http://schemas.openxmlformats.org/spreadsheetml/2006/main" count="119" uniqueCount="81">
  <si>
    <t>Cell Imaging 2026</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</si>
  <si>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</si>
  <si>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</si>
  <si>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</si>
  <si>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</si>
  <si>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</si>
  <si>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</si>
  <si>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</si>
  <si>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</si>
  <si>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Initiation Phase</t>
  </si>
  <si>
    <t>Define goals</t>
  </si>
  <si>
    <t>All</t>
  </si>
  <si>
    <t>Observations</t>
  </si>
  <si>
    <t>Conduct Interviews</t>
  </si>
  <si>
    <t>Define tasks</t>
  </si>
  <si>
    <t>Rework Team Contract</t>
  </si>
  <si>
    <t>Planning/Design Phase</t>
  </si>
  <si>
    <t>Rework Solution Description</t>
  </si>
  <si>
    <t>Rework Gantt Chart</t>
  </si>
  <si>
    <t>All (main Demetrius)</t>
  </si>
  <si>
    <t>Cost</t>
  </si>
  <si>
    <t>Develop Budget</t>
  </si>
  <si>
    <t>Identify risks</t>
  </si>
  <si>
    <t>Research AI</t>
  </si>
  <si>
    <t>Jonathan</t>
  </si>
  <si>
    <t>Research Cell Type Data</t>
  </si>
  <si>
    <t>Demetrius, John</t>
  </si>
  <si>
    <t>Execution</t>
  </si>
  <si>
    <t>Develop Midterm Demo</t>
  </si>
  <si>
    <t>Develop Final Demo</t>
  </si>
  <si>
    <t>Evaluation</t>
  </si>
  <si>
    <t>Monitor progress</t>
  </si>
  <si>
    <t>Evaluate progress</t>
  </si>
  <si>
    <t>Address Risks</t>
  </si>
  <si>
    <t>Round 1 Feedback</t>
  </si>
  <si>
    <t>Advisor Feedback</t>
  </si>
  <si>
    <t>Midterm Goals (Fall 25)</t>
  </si>
  <si>
    <t>Personalized Code Annotations</t>
  </si>
  <si>
    <t>Finding engineering standards</t>
  </si>
  <si>
    <t>Update constraints/criterias</t>
  </si>
  <si>
    <t>Testing Plan A17</t>
  </si>
  <si>
    <t>Get ready for finals</t>
  </si>
  <si>
    <t>Final goals (Fall 25)</t>
  </si>
  <si>
    <t>Technical Report</t>
  </si>
  <si>
    <t>Establist a constant time</t>
  </si>
  <si>
    <t>Spring 2026</t>
  </si>
  <si>
    <t>Team Contract Revisions</t>
  </si>
  <si>
    <t xml:space="preserve">Supplementary Code Revisions </t>
  </si>
  <si>
    <t>Demetrius</t>
  </si>
  <si>
    <t>Record Newest Demo Video</t>
  </si>
  <si>
    <t>Revise Testing Plan</t>
  </si>
  <si>
    <t xml:space="preserve">Second Sample Test </t>
  </si>
  <si>
    <t xml:space="preserve">Ease of Usability Test </t>
  </si>
  <si>
    <t xml:space="preserve">OS Compatibility Test </t>
  </si>
  <si>
    <t>Demetrius &amp; John</t>
  </si>
  <si>
    <t>Compliance Test </t>
  </si>
  <si>
    <t>Jonathan &amp; Demetrius</t>
  </si>
  <si>
    <t>Deformation Rate Test </t>
  </si>
  <si>
    <t xml:space="preserve">John &amp; Jonathan </t>
  </si>
  <si>
    <t>Testing Conclusions</t>
  </si>
  <si>
    <t>Budget Information</t>
  </si>
  <si>
    <t xml:space="preserve">Personnel Information </t>
  </si>
  <si>
    <t>Broader Impacts Information</t>
  </si>
  <si>
    <t>Proposal Draft #1</t>
  </si>
  <si>
    <t>Final Poster</t>
  </si>
  <si>
    <t>Presentation Practice</t>
  </si>
  <si>
    <t>Proposal Final Draft</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</si>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</sst>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sz val="24"/>
      <color rgb="FF000000"/>
      <name val="Arial"/>
    </font>
  </fonts>
  <fills count="1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6" tint="0.59996337778862885"/>
      </top>
      <bottom/>
      <diagonal/>
    </border>
    <border>
      <left/>
      <right/>
      <top style="thin">
        <color theme="7" tint="0.59996337778862885"/>
      </top>
      <bottom style="thin">
        <color theme="7" tint="0.59996337778862885"/>
      </bottom>
      <diagonal/>
    </border>
    <border>
      <left style="thin">
        <color theme="0" tint="-4.9989318521683403E-2"/>
      </left>
      <right style="thin">
        <color theme="0" tint="-4.9989318521683403E-2"/>
      </right>
      <top style="thin">
        <color theme="0" tint="-4.9989318521683403E-2"/>
      </top>
      <bottom/>
      <diagonal/>
    </border>
  </borders>
  <cellStyleXfs count="17">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cellStyleXfs>
  <cellXfs count="134">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18" xfId="0" applyNumberFormat="1" applyFont="1" applyFill="1" applyBorder="1" applyAlignment="1">
      <alignment horizontal="center" vertical="center"/>
    </xf>
    <xf numFmtId="167" fontId="19" fillId="12" borderId="16" xfId="0" applyNumberFormat="1" applyFont="1" applyFill="1" applyBorder="1" applyAlignment="1">
      <alignment horizontal="center" vertical="center"/>
    </xf>
    <xf numFmtId="167" fontId="19" fillId="12" borderId="17" xfId="0" applyNumberFormat="1" applyFont="1" applyFill="1" applyBorder="1" applyAlignment="1">
      <alignment horizontal="center" vertical="center"/>
    </xf>
    <xf numFmtId="0" fontId="20" fillId="2" borderId="15" xfId="0" applyFont="1" applyFill="1" applyBorder="1" applyAlignment="1">
      <alignment horizontal="center" vertical="center" shrinkToFit="1"/>
    </xf>
    <xf numFmtId="0" fontId="20" fillId="2" borderId="12" xfId="0" applyFont="1" applyFill="1" applyBorder="1" applyAlignment="1">
      <alignment horizontal="center" vertical="center" shrinkToFit="1"/>
    </xf>
    <xf numFmtId="0" fontId="20" fillId="2" borderId="13"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7" fillId="0" borderId="0" xfId="0" applyFont="1" applyAlignment="1">
      <alignment horizontal="center"/>
    </xf>
    <xf numFmtId="0" fontId="0" fillId="0" borderId="4" xfId="0" applyBorder="1" applyAlignment="1">
      <alignment vertical="center"/>
    </xf>
    <xf numFmtId="0" fontId="21" fillId="13" borderId="20" xfId="0" applyFont="1" applyFill="1" applyBorder="1" applyAlignment="1">
      <alignment horizontal="left" vertical="center" indent="1"/>
    </xf>
    <xf numFmtId="0" fontId="17" fillId="13" borderId="20" xfId="11" applyFont="1" applyFill="1" applyBorder="1" applyAlignment="1">
      <alignment vertical="center"/>
    </xf>
    <xf numFmtId="9" fontId="1" fillId="13" borderId="20" xfId="2" applyFont="1" applyFill="1" applyBorder="1" applyAlignment="1">
      <alignment horizontal="center" vertical="center"/>
    </xf>
    <xf numFmtId="164" fontId="17" fillId="13" borderId="20" xfId="0" applyNumberFormat="1" applyFont="1" applyFill="1" applyBorder="1" applyAlignment="1">
      <alignment horizontal="center" vertical="center"/>
    </xf>
    <xf numFmtId="164" fontId="1" fillId="13" borderId="20" xfId="0" applyNumberFormat="1" applyFont="1" applyFill="1" applyBorder="1" applyAlignment="1">
      <alignment horizontal="center" vertical="center"/>
    </xf>
    <xf numFmtId="0" fontId="17" fillId="14" borderId="21" xfId="12" applyFont="1" applyFill="1" applyBorder="1" applyAlignment="1">
      <alignment horizontal="left" vertical="center" wrapText="1" indent="2"/>
    </xf>
    <xf numFmtId="0" fontId="17" fillId="14" borderId="21" xfId="11" applyFont="1" applyFill="1" applyBorder="1" applyAlignment="1">
      <alignment vertical="center"/>
    </xf>
    <xf numFmtId="9" fontId="1" fillId="14" borderId="21" xfId="2" applyFont="1" applyFill="1" applyBorder="1" applyAlignment="1">
      <alignment horizontal="center" vertical="center"/>
    </xf>
    <xf numFmtId="164" fontId="17" fillId="14" borderId="21" xfId="10" applyFont="1" applyFill="1" applyBorder="1">
      <alignment horizontal="center" vertical="center"/>
    </xf>
    <xf numFmtId="0" fontId="17" fillId="14" borderId="21" xfId="12" applyFont="1" applyFill="1" applyBorder="1">
      <alignment horizontal="left" vertical="center" indent="2"/>
    </xf>
    <xf numFmtId="0" fontId="4" fillId="0" borderId="22" xfId="0" applyFont="1" applyBorder="1" applyAlignment="1">
      <alignment vertical="center"/>
    </xf>
    <xf numFmtId="0" fontId="4" fillId="16" borderId="0" xfId="14" applyAlignment="1">
      <alignment horizontal="left" vertical="center" indent="1"/>
    </xf>
    <xf numFmtId="0" fontId="4" fillId="16" borderId="0" xfId="14" applyBorder="1" applyAlignment="1">
      <alignment vertical="center"/>
    </xf>
    <xf numFmtId="9" fontId="4" fillId="16" borderId="0" xfId="14" applyNumberFormat="1" applyAlignment="1">
      <alignment horizontal="center" vertical="center"/>
    </xf>
    <xf numFmtId="164" fontId="4" fillId="16" borderId="0" xfId="14" applyNumberFormat="1" applyAlignment="1">
      <alignment horizontal="center" vertical="center"/>
    </xf>
    <xf numFmtId="0" fontId="4" fillId="15" borderId="8" xfId="13" applyBorder="1" applyAlignment="1">
      <alignment horizontal="left" vertical="center" indent="2"/>
    </xf>
    <xf numFmtId="0" fontId="4" fillId="15" borderId="8" xfId="13" applyBorder="1" applyAlignment="1">
      <alignment vertical="center"/>
    </xf>
    <xf numFmtId="9" fontId="4" fillId="15" borderId="8" xfId="13" applyNumberFormat="1" applyBorder="1" applyAlignment="1">
      <alignment horizontal="center" vertical="center"/>
    </xf>
    <xf numFmtId="164" fontId="4" fillId="15" borderId="8" xfId="13" applyNumberFormat="1" applyBorder="1" applyAlignment="1">
      <alignment horizontal="center" vertical="center"/>
    </xf>
    <xf numFmtId="0" fontId="4" fillId="15" borderId="0" xfId="13" applyBorder="1" applyAlignment="1">
      <alignment horizontal="left" vertical="center" indent="2"/>
    </xf>
    <xf numFmtId="0" fontId="4" fillId="15" borderId="0" xfId="13" applyAlignment="1" applyProtection="1"/>
    <xf numFmtId="0" fontId="4" fillId="15" borderId="0" xfId="13"/>
    <xf numFmtId="0" fontId="4" fillId="15" borderId="0" xfId="13" applyAlignment="1">
      <alignment horizontal="center"/>
    </xf>
    <xf numFmtId="0" fontId="4" fillId="18" borderId="0" xfId="16" applyAlignment="1">
      <alignment horizontal="left" vertical="center" indent="1"/>
    </xf>
    <xf numFmtId="0" fontId="4" fillId="18" borderId="0" xfId="16" applyBorder="1" applyAlignment="1">
      <alignment vertical="center"/>
    </xf>
    <xf numFmtId="9" fontId="4" fillId="18" borderId="0" xfId="16" applyNumberFormat="1" applyAlignment="1">
      <alignment horizontal="center" vertical="center"/>
    </xf>
    <xf numFmtId="164" fontId="4" fillId="18" borderId="0" xfId="16" applyNumberFormat="1" applyAlignment="1">
      <alignment horizontal="center" vertical="center"/>
    </xf>
    <xf numFmtId="0" fontId="4" fillId="17" borderId="8" xfId="15" applyBorder="1" applyAlignment="1">
      <alignment horizontal="left" vertical="center" indent="2"/>
    </xf>
    <xf numFmtId="0" fontId="4" fillId="17" borderId="8" xfId="15" applyBorder="1" applyAlignment="1">
      <alignment vertical="center"/>
    </xf>
    <xf numFmtId="9" fontId="4" fillId="17" borderId="8" xfId="15" applyNumberFormat="1" applyBorder="1" applyAlignment="1">
      <alignment horizontal="center" vertical="center"/>
    </xf>
    <xf numFmtId="164" fontId="4" fillId="17" borderId="8" xfId="15" applyNumberFormat="1" applyBorder="1" applyAlignment="1">
      <alignment horizontal="center" vertical="center"/>
    </xf>
    <xf numFmtId="0" fontId="11" fillId="0" borderId="0" xfId="3" applyAlignment="1">
      <alignment wrapText="1"/>
    </xf>
    <xf numFmtId="0" fontId="18" fillId="11" borderId="14" xfId="0" applyFont="1" applyFill="1" applyBorder="1" applyAlignment="1">
      <alignment horizontal="left" vertical="center" indent="1"/>
    </xf>
    <xf numFmtId="0" fontId="4" fillId="2" borderId="19" xfId="0" applyFont="1" applyFill="1" applyBorder="1" applyAlignment="1">
      <alignment horizontal="left" indent="1"/>
    </xf>
    <xf numFmtId="0" fontId="18" fillId="11" borderId="14" xfId="0" applyFont="1" applyFill="1" applyBorder="1" applyAlignment="1">
      <alignment vertical="center"/>
    </xf>
    <xf numFmtId="0" fontId="18" fillId="11" borderId="14" xfId="0" applyFont="1" applyFill="1" applyBorder="1" applyAlignment="1">
      <alignment horizontal="center" vertical="center"/>
    </xf>
    <xf numFmtId="0" fontId="23" fillId="0" borderId="0" xfId="0" applyFont="1" applyAlignment="1">
      <alignment horizontal="left"/>
    </xf>
    <xf numFmtId="165" fontId="23" fillId="0" borderId="0" xfId="9" applyFont="1" applyBorder="1" applyAlignment="1">
      <alignment horizontal="left"/>
    </xf>
    <xf numFmtId="0" fontId="22" fillId="0" borderId="0" xfId="8" applyFont="1" applyAlignment="1">
      <alignment horizontal="left"/>
    </xf>
    <xf numFmtId="166" fontId="17" fillId="2" borderId="11" xfId="0" applyNumberFormat="1" applyFont="1" applyFill="1" applyBorder="1" applyAlignment="1">
      <alignment horizontal="center" vertical="center" wrapText="1"/>
    </xf>
    <xf numFmtId="166" fontId="17" fillId="2" borderId="17"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0" fontId="4" fillId="0" borderId="0" xfId="0" applyFont="1" applyAlignment="1"/>
    <xf numFmtId="0" fontId="24" fillId="0" borderId="0" xfId="0" applyFont="1" applyAlignment="1"/>
    <xf numFmtId="0" fontId="4" fillId="2" borderId="19" xfId="0" applyFont="1" applyFill="1" applyBorder="1" applyAlignment="1"/>
  </cellXfs>
  <cellStyles count="17">
    <cellStyle name="20% - Accent1" xfId="13" builtinId="30"/>
    <cellStyle name="20% - Accent2" xfId="15" builtinId="34"/>
    <cellStyle name="40% - Accent1" xfId="14" builtinId="31"/>
    <cellStyle name="40% - Accent2" xfId="16" builtinId="35"/>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8">
    <dxf>
      <fill>
        <patternFill>
          <bgColor theme="7" tint="0.59996337778862885"/>
        </patternFill>
      </fill>
      <border>
        <left/>
        <right/>
      </border>
    </dxf>
    <dxf>
      <fill>
        <patternFill>
          <bgColor theme="7"/>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3"/>
  <sheetViews>
    <sheetView showGridLines="0" tabSelected="1" showRuler="0" topLeftCell="E1" zoomScale="90" zoomScaleNormal="100" zoomScalePageLayoutView="70" workbookViewId="0">
      <selection activeCell="Q3" sqref="Q3"/>
    </sheetView>
  </sheetViews>
  <sheetFormatPr defaultColWidth="8.75" defaultRowHeight="30" customHeight="1"/>
  <cols>
    <col min="1" max="1" width="2.75" style="10" customWidth="1"/>
    <col min="2" max="2" width="27.375" customWidth="1"/>
    <col min="3" max="3" width="19.2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1"/>
      <c r="B1" s="87" t="s">
        <v>0</v>
      </c>
      <c r="C1" s="13"/>
      <c r="D1" s="14"/>
      <c r="F1" s="15"/>
      <c r="H1" s="1"/>
      <c r="I1" s="127" t="s">
        <v>1</v>
      </c>
      <c r="J1" s="131"/>
      <c r="K1" s="131"/>
      <c r="L1" s="131"/>
      <c r="M1" s="131"/>
      <c r="N1" s="131"/>
      <c r="O1" s="131"/>
      <c r="P1" s="18"/>
      <c r="Q1" s="126">
        <v>45740</v>
      </c>
      <c r="R1" s="132"/>
      <c r="S1" s="132"/>
      <c r="T1" s="132"/>
      <c r="U1" s="132"/>
      <c r="V1" s="132"/>
      <c r="W1" s="132"/>
      <c r="X1" s="132"/>
      <c r="Y1" s="132"/>
      <c r="Z1" s="132"/>
    </row>
    <row r="2" spans="1:64" ht="30" customHeight="1">
      <c r="B2" s="78"/>
      <c r="C2" s="79"/>
      <c r="D2" s="16"/>
      <c r="E2" s="17"/>
      <c r="F2" s="16"/>
      <c r="I2" s="127" t="s">
        <v>2</v>
      </c>
      <c r="J2" s="131"/>
      <c r="K2" s="131"/>
      <c r="L2" s="131"/>
      <c r="M2" s="131"/>
      <c r="N2" s="131"/>
      <c r="O2" s="131"/>
      <c r="P2" s="18"/>
      <c r="Q2" s="125">
        <v>51</v>
      </c>
      <c r="R2" s="132"/>
      <c r="S2" s="132"/>
      <c r="T2" s="132"/>
      <c r="U2" s="132"/>
      <c r="V2" s="132"/>
      <c r="W2" s="132"/>
      <c r="X2" s="132"/>
      <c r="Y2" s="132"/>
      <c r="Z2" s="132"/>
    </row>
    <row r="3" spans="1:64" s="20" customFormat="1" ht="30" customHeight="1">
      <c r="A3" s="10"/>
      <c r="B3" s="19"/>
      <c r="D3" s="21"/>
      <c r="E3" s="22"/>
    </row>
    <row r="4" spans="1:64" s="20" customFormat="1" ht="30" customHeight="1">
      <c r="A4" s="11"/>
      <c r="B4" s="23"/>
      <c r="E4" s="24"/>
      <c r="I4" s="130">
        <f>I5</f>
        <v>46090</v>
      </c>
      <c r="J4" s="128"/>
      <c r="K4" s="128"/>
      <c r="L4" s="128"/>
      <c r="M4" s="128"/>
      <c r="N4" s="128"/>
      <c r="O4" s="128"/>
      <c r="P4" s="128">
        <f>P5</f>
        <v>46097</v>
      </c>
      <c r="Q4" s="128"/>
      <c r="R4" s="128"/>
      <c r="S4" s="128"/>
      <c r="T4" s="128"/>
      <c r="U4" s="128"/>
      <c r="V4" s="128"/>
      <c r="W4" s="128">
        <f>W5</f>
        <v>46104</v>
      </c>
      <c r="X4" s="128"/>
      <c r="Y4" s="128"/>
      <c r="Z4" s="128"/>
      <c r="AA4" s="128"/>
      <c r="AB4" s="128"/>
      <c r="AC4" s="128"/>
      <c r="AD4" s="128">
        <f>AD5</f>
        <v>46111</v>
      </c>
      <c r="AE4" s="128"/>
      <c r="AF4" s="128"/>
      <c r="AG4" s="128"/>
      <c r="AH4" s="128"/>
      <c r="AI4" s="128"/>
      <c r="AJ4" s="128"/>
      <c r="AK4" s="128">
        <f>AK5</f>
        <v>46118</v>
      </c>
      <c r="AL4" s="128"/>
      <c r="AM4" s="128"/>
      <c r="AN4" s="128"/>
      <c r="AO4" s="128"/>
      <c r="AP4" s="128"/>
      <c r="AQ4" s="128"/>
      <c r="AR4" s="128">
        <f>AR5</f>
        <v>46125</v>
      </c>
      <c r="AS4" s="128"/>
      <c r="AT4" s="128"/>
      <c r="AU4" s="128"/>
      <c r="AV4" s="128"/>
      <c r="AW4" s="128"/>
      <c r="AX4" s="128"/>
      <c r="AY4" s="128">
        <f>AY5</f>
        <v>46132</v>
      </c>
      <c r="AZ4" s="128"/>
      <c r="BA4" s="128"/>
      <c r="BB4" s="128"/>
      <c r="BC4" s="128"/>
      <c r="BD4" s="128"/>
      <c r="BE4" s="128"/>
      <c r="BF4" s="128">
        <f>BF5</f>
        <v>46139</v>
      </c>
      <c r="BG4" s="128"/>
      <c r="BH4" s="128"/>
      <c r="BI4" s="128"/>
      <c r="BJ4" s="128"/>
      <c r="BK4" s="128"/>
      <c r="BL4" s="129"/>
    </row>
    <row r="5" spans="1:64" s="20" customFormat="1" ht="15" customHeight="1">
      <c r="A5" s="120"/>
      <c r="B5" s="121" t="s">
        <v>3</v>
      </c>
      <c r="C5" s="123" t="s">
        <v>4</v>
      </c>
      <c r="D5" s="124" t="s">
        <v>5</v>
      </c>
      <c r="E5" s="124" t="s">
        <v>6</v>
      </c>
      <c r="F5" s="124" t="s">
        <v>7</v>
      </c>
      <c r="I5" s="25">
        <f>Project_Start-WEEKDAY(Project_Start,1)+2+7*(Display_Week-1)</f>
        <v>46090</v>
      </c>
      <c r="J5" s="25">
        <f>I5+1</f>
        <v>46091</v>
      </c>
      <c r="K5" s="25">
        <f t="shared" ref="K5:AX5" si="0">J5+1</f>
        <v>46092</v>
      </c>
      <c r="L5" s="25">
        <f t="shared" si="0"/>
        <v>46093</v>
      </c>
      <c r="M5" s="25">
        <f t="shared" si="0"/>
        <v>46094</v>
      </c>
      <c r="N5" s="25">
        <f t="shared" si="0"/>
        <v>46095</v>
      </c>
      <c r="O5" s="26">
        <f t="shared" si="0"/>
        <v>46096</v>
      </c>
      <c r="P5" s="27">
        <f>O5+1</f>
        <v>46097</v>
      </c>
      <c r="Q5" s="25">
        <f>P5+1</f>
        <v>46098</v>
      </c>
      <c r="R5" s="25">
        <f t="shared" si="0"/>
        <v>46099</v>
      </c>
      <c r="S5" s="25">
        <f t="shared" si="0"/>
        <v>46100</v>
      </c>
      <c r="T5" s="25">
        <f t="shared" si="0"/>
        <v>46101</v>
      </c>
      <c r="U5" s="25">
        <f t="shared" si="0"/>
        <v>46102</v>
      </c>
      <c r="V5" s="26">
        <f t="shared" si="0"/>
        <v>46103</v>
      </c>
      <c r="W5" s="27">
        <f>V5+1</f>
        <v>46104</v>
      </c>
      <c r="X5" s="25">
        <f>W5+1</f>
        <v>46105</v>
      </c>
      <c r="Y5" s="25">
        <f t="shared" si="0"/>
        <v>46106</v>
      </c>
      <c r="Z5" s="25">
        <f t="shared" si="0"/>
        <v>46107</v>
      </c>
      <c r="AA5" s="25">
        <f t="shared" si="0"/>
        <v>46108</v>
      </c>
      <c r="AB5" s="25">
        <f t="shared" si="0"/>
        <v>46109</v>
      </c>
      <c r="AC5" s="26">
        <f t="shared" si="0"/>
        <v>46110</v>
      </c>
      <c r="AD5" s="27">
        <f>AC5+1</f>
        <v>46111</v>
      </c>
      <c r="AE5" s="25">
        <f>AD5+1</f>
        <v>46112</v>
      </c>
      <c r="AF5" s="25">
        <f t="shared" si="0"/>
        <v>46113</v>
      </c>
      <c r="AG5" s="25">
        <f t="shared" si="0"/>
        <v>46114</v>
      </c>
      <c r="AH5" s="25">
        <f t="shared" si="0"/>
        <v>46115</v>
      </c>
      <c r="AI5" s="25">
        <f t="shared" si="0"/>
        <v>46116</v>
      </c>
      <c r="AJ5" s="26">
        <f t="shared" si="0"/>
        <v>46117</v>
      </c>
      <c r="AK5" s="27">
        <f>AJ5+1</f>
        <v>46118</v>
      </c>
      <c r="AL5" s="25">
        <f>AK5+1</f>
        <v>46119</v>
      </c>
      <c r="AM5" s="25">
        <f t="shared" si="0"/>
        <v>46120</v>
      </c>
      <c r="AN5" s="25">
        <f t="shared" si="0"/>
        <v>46121</v>
      </c>
      <c r="AO5" s="25">
        <f t="shared" si="0"/>
        <v>46122</v>
      </c>
      <c r="AP5" s="25">
        <f t="shared" si="0"/>
        <v>46123</v>
      </c>
      <c r="AQ5" s="26">
        <f t="shared" si="0"/>
        <v>46124</v>
      </c>
      <c r="AR5" s="27">
        <f>AQ5+1</f>
        <v>46125</v>
      </c>
      <c r="AS5" s="25">
        <f>AR5+1</f>
        <v>46126</v>
      </c>
      <c r="AT5" s="25">
        <f t="shared" si="0"/>
        <v>46127</v>
      </c>
      <c r="AU5" s="25">
        <f t="shared" si="0"/>
        <v>46128</v>
      </c>
      <c r="AV5" s="25">
        <f t="shared" si="0"/>
        <v>46129</v>
      </c>
      <c r="AW5" s="25">
        <f t="shared" si="0"/>
        <v>46130</v>
      </c>
      <c r="AX5" s="26">
        <f t="shared" si="0"/>
        <v>46131</v>
      </c>
      <c r="AY5" s="27">
        <f>AX5+1</f>
        <v>46132</v>
      </c>
      <c r="AZ5" s="25">
        <f>AY5+1</f>
        <v>46133</v>
      </c>
      <c r="BA5" s="25">
        <f t="shared" ref="BA5:BE5" si="1">AZ5+1</f>
        <v>46134</v>
      </c>
      <c r="BB5" s="25">
        <f t="shared" si="1"/>
        <v>46135</v>
      </c>
      <c r="BC5" s="25">
        <f t="shared" si="1"/>
        <v>46136</v>
      </c>
      <c r="BD5" s="25">
        <f t="shared" si="1"/>
        <v>46137</v>
      </c>
      <c r="BE5" s="26">
        <f t="shared" si="1"/>
        <v>46138</v>
      </c>
      <c r="BF5" s="27">
        <f>BE5+1</f>
        <v>46139</v>
      </c>
      <c r="BG5" s="25">
        <f>BF5+1</f>
        <v>46140</v>
      </c>
      <c r="BH5" s="25">
        <f t="shared" ref="BH5:BL5" si="2">BG5+1</f>
        <v>46141</v>
      </c>
      <c r="BI5" s="25">
        <f t="shared" si="2"/>
        <v>46142</v>
      </c>
      <c r="BJ5" s="25">
        <f t="shared" si="2"/>
        <v>46143</v>
      </c>
      <c r="BK5" s="25">
        <f t="shared" si="2"/>
        <v>46144</v>
      </c>
      <c r="BL5" s="25">
        <f t="shared" si="2"/>
        <v>46145</v>
      </c>
    </row>
    <row r="6" spans="1:64" s="20" customFormat="1" ht="15" customHeight="1" thickBot="1">
      <c r="A6" s="120"/>
      <c r="B6" s="122"/>
      <c r="C6" s="133"/>
      <c r="D6" s="133"/>
      <c r="E6" s="133"/>
      <c r="F6" s="133"/>
      <c r="I6" s="28" t="str">
        <f t="shared" ref="I6:AN6" si="3">LEFT(TEXT(I5,"ddd"),1)</f>
        <v>M</v>
      </c>
      <c r="J6" s="29" t="str">
        <f t="shared" si="3"/>
        <v>T</v>
      </c>
      <c r="K6" s="29" t="str">
        <f t="shared" si="3"/>
        <v>W</v>
      </c>
      <c r="L6" s="29" t="str">
        <f t="shared" si="3"/>
        <v>T</v>
      </c>
      <c r="M6" s="29" t="str">
        <f t="shared" si="3"/>
        <v>F</v>
      </c>
      <c r="N6" s="29" t="str">
        <f t="shared" si="3"/>
        <v>S</v>
      </c>
      <c r="O6" s="29" t="str">
        <f t="shared" si="3"/>
        <v>S</v>
      </c>
      <c r="P6" s="29" t="str">
        <f t="shared" si="3"/>
        <v>M</v>
      </c>
      <c r="Q6" s="29" t="str">
        <f t="shared" si="3"/>
        <v>T</v>
      </c>
      <c r="R6" s="29" t="str">
        <f t="shared" si="3"/>
        <v>W</v>
      </c>
      <c r="S6" s="29" t="str">
        <f t="shared" si="3"/>
        <v>T</v>
      </c>
      <c r="T6" s="29" t="str">
        <f t="shared" si="3"/>
        <v>F</v>
      </c>
      <c r="U6" s="29" t="str">
        <f t="shared" si="3"/>
        <v>S</v>
      </c>
      <c r="V6" s="29" t="str">
        <f t="shared" si="3"/>
        <v>S</v>
      </c>
      <c r="W6" s="29" t="str">
        <f t="shared" si="3"/>
        <v>M</v>
      </c>
      <c r="X6" s="29" t="str">
        <f t="shared" si="3"/>
        <v>T</v>
      </c>
      <c r="Y6" s="29" t="str">
        <f t="shared" si="3"/>
        <v>W</v>
      </c>
      <c r="Z6" s="29" t="str">
        <f t="shared" si="3"/>
        <v>T</v>
      </c>
      <c r="AA6" s="29" t="str">
        <f t="shared" si="3"/>
        <v>F</v>
      </c>
      <c r="AB6" s="29" t="str">
        <f t="shared" si="3"/>
        <v>S</v>
      </c>
      <c r="AC6" s="29" t="str">
        <f t="shared" si="3"/>
        <v>S</v>
      </c>
      <c r="AD6" s="29" t="str">
        <f t="shared" si="3"/>
        <v>M</v>
      </c>
      <c r="AE6" s="29" t="str">
        <f t="shared" si="3"/>
        <v>T</v>
      </c>
      <c r="AF6" s="29" t="str">
        <f t="shared" si="3"/>
        <v>W</v>
      </c>
      <c r="AG6" s="29" t="str">
        <f t="shared" si="3"/>
        <v>T</v>
      </c>
      <c r="AH6" s="29" t="str">
        <f t="shared" si="3"/>
        <v>F</v>
      </c>
      <c r="AI6" s="29" t="str">
        <f t="shared" si="3"/>
        <v>S</v>
      </c>
      <c r="AJ6" s="29" t="str">
        <f t="shared" si="3"/>
        <v>S</v>
      </c>
      <c r="AK6" s="29" t="str">
        <f t="shared" si="3"/>
        <v>M</v>
      </c>
      <c r="AL6" s="29" t="str">
        <f t="shared" si="3"/>
        <v>T</v>
      </c>
      <c r="AM6" s="29" t="str">
        <f t="shared" si="3"/>
        <v>W</v>
      </c>
      <c r="AN6" s="29" t="str">
        <f t="shared" si="3"/>
        <v>T</v>
      </c>
      <c r="AO6" s="29" t="str">
        <f t="shared" ref="AO6:BL6" si="4">LEFT(TEXT(AO5,"ddd"),1)</f>
        <v>F</v>
      </c>
      <c r="AP6" s="29" t="str">
        <f t="shared" si="4"/>
        <v>S</v>
      </c>
      <c r="AQ6" s="29" t="str">
        <f t="shared" si="4"/>
        <v>S</v>
      </c>
      <c r="AR6" s="29" t="str">
        <f t="shared" si="4"/>
        <v>M</v>
      </c>
      <c r="AS6" s="29" t="str">
        <f t="shared" si="4"/>
        <v>T</v>
      </c>
      <c r="AT6" s="29" t="str">
        <f t="shared" si="4"/>
        <v>W</v>
      </c>
      <c r="AU6" s="29" t="str">
        <f t="shared" si="4"/>
        <v>T</v>
      </c>
      <c r="AV6" s="29" t="str">
        <f t="shared" si="4"/>
        <v>F</v>
      </c>
      <c r="AW6" s="29" t="str">
        <f t="shared" si="4"/>
        <v>S</v>
      </c>
      <c r="AX6" s="29" t="str">
        <f t="shared" si="4"/>
        <v>S</v>
      </c>
      <c r="AY6" s="29" t="str">
        <f t="shared" si="4"/>
        <v>M</v>
      </c>
      <c r="AZ6" s="29" t="str">
        <f t="shared" si="4"/>
        <v>T</v>
      </c>
      <c r="BA6" s="29" t="str">
        <f t="shared" si="4"/>
        <v>W</v>
      </c>
      <c r="BB6" s="29" t="str">
        <f t="shared" si="4"/>
        <v>T</v>
      </c>
      <c r="BC6" s="29" t="str">
        <f t="shared" si="4"/>
        <v>F</v>
      </c>
      <c r="BD6" s="29" t="str">
        <f t="shared" si="4"/>
        <v>S</v>
      </c>
      <c r="BE6" s="29" t="str">
        <f t="shared" si="4"/>
        <v>S</v>
      </c>
      <c r="BF6" s="29" t="str">
        <f t="shared" si="4"/>
        <v>M</v>
      </c>
      <c r="BG6" s="29" t="str">
        <f t="shared" si="4"/>
        <v>T</v>
      </c>
      <c r="BH6" s="29" t="str">
        <f t="shared" si="4"/>
        <v>W</v>
      </c>
      <c r="BI6" s="29" t="str">
        <f t="shared" si="4"/>
        <v>T</v>
      </c>
      <c r="BJ6" s="29" t="str">
        <f t="shared" si="4"/>
        <v>F</v>
      </c>
      <c r="BK6" s="29" t="str">
        <f t="shared" si="4"/>
        <v>S</v>
      </c>
      <c r="BL6" s="30" t="str">
        <f t="shared" si="4"/>
        <v>S</v>
      </c>
    </row>
    <row r="7" spans="1:64" s="20" customFormat="1" ht="30" hidden="1" customHeight="1" thickBot="1">
      <c r="A7" s="10" t="s">
        <v>8</v>
      </c>
      <c r="B7" s="31"/>
      <c r="C7" s="32"/>
      <c r="D7" s="31"/>
      <c r="E7" s="31"/>
      <c r="F7" s="31"/>
      <c r="H7" s="20" t="str">
        <f ca="1">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c r="A8" s="11"/>
      <c r="B8" s="34" t="s">
        <v>9</v>
      </c>
      <c r="C8" s="35"/>
      <c r="D8" s="36"/>
      <c r="E8" s="37"/>
      <c r="F8" s="38"/>
      <c r="G8" s="12"/>
      <c r="H8" s="3" t="str">
        <f t="shared" ref="H8:H32" ca="1"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c r="A9" s="11"/>
      <c r="B9" s="41" t="s">
        <v>10</v>
      </c>
      <c r="C9" s="42" t="s">
        <v>11</v>
      </c>
      <c r="D9" s="43">
        <v>1</v>
      </c>
      <c r="E9" s="44">
        <f>Project_Start</f>
        <v>45740</v>
      </c>
      <c r="F9" s="44">
        <v>45905</v>
      </c>
      <c r="G9" s="12"/>
      <c r="H9" s="3">
        <f t="shared" ca="1" si="5"/>
        <v>166</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c r="A10" s="11"/>
      <c r="B10" s="46" t="s">
        <v>12</v>
      </c>
      <c r="C10" s="47" t="s">
        <v>11</v>
      </c>
      <c r="D10" s="48">
        <v>1</v>
      </c>
      <c r="E10" s="49">
        <v>45714</v>
      </c>
      <c r="F10" s="49">
        <v>45734</v>
      </c>
      <c r="G10" s="12"/>
      <c r="H10" s="3">
        <f t="shared" ca="1" si="5"/>
        <v>21</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c r="A11" s="10"/>
      <c r="B11" s="46" t="s">
        <v>13</v>
      </c>
      <c r="C11" s="47" t="s">
        <v>11</v>
      </c>
      <c r="D11" s="48">
        <v>1</v>
      </c>
      <c r="E11" s="49">
        <v>45740</v>
      </c>
      <c r="F11" s="49">
        <f>E11+4</f>
        <v>45744</v>
      </c>
      <c r="G11" s="12"/>
      <c r="H11" s="3">
        <f t="shared" ca="1" si="5"/>
        <v>5</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0" customFormat="1" ht="30" customHeight="1">
      <c r="A12" s="10"/>
      <c r="B12" s="46" t="s">
        <v>14</v>
      </c>
      <c r="C12" s="47" t="s">
        <v>11</v>
      </c>
      <c r="D12" s="48">
        <v>1</v>
      </c>
      <c r="E12" s="49">
        <v>45740</v>
      </c>
      <c r="F12" s="49">
        <v>45905</v>
      </c>
      <c r="G12" s="12"/>
      <c r="H12" s="3"/>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0" customFormat="1" ht="30" customHeight="1">
      <c r="A13" s="10"/>
      <c r="B13" s="46" t="s">
        <v>15</v>
      </c>
      <c r="C13" s="47" t="s">
        <v>11</v>
      </c>
      <c r="D13" s="48">
        <v>1</v>
      </c>
      <c r="E13" s="49">
        <v>45740</v>
      </c>
      <c r="F13" s="49">
        <v>45902</v>
      </c>
      <c r="G13" s="12"/>
      <c r="H13" s="3">
        <f t="shared" ca="1" si="5"/>
        <v>163</v>
      </c>
      <c r="I13" s="45"/>
      <c r="J13" s="45"/>
      <c r="K13" s="45"/>
      <c r="L13" s="45"/>
      <c r="M13" s="45"/>
      <c r="N13" s="45"/>
      <c r="O13" s="45"/>
      <c r="P13" s="45"/>
      <c r="Q13" s="45"/>
      <c r="R13" s="45"/>
      <c r="S13" s="45"/>
      <c r="T13" s="45"/>
      <c r="U13" s="45"/>
      <c r="V13" s="45"/>
      <c r="W13" s="45"/>
      <c r="X13" s="45"/>
      <c r="Y13" s="50"/>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c r="A14" s="11"/>
      <c r="B14" s="51" t="s">
        <v>16</v>
      </c>
      <c r="C14" s="52"/>
      <c r="D14" s="53"/>
      <c r="E14" s="54"/>
      <c r="F14" s="55"/>
      <c r="G14" s="12"/>
      <c r="H14" s="3" t="str">
        <f t="shared" ca="1" si="5"/>
        <v/>
      </c>
    </row>
    <row r="15" spans="1:64" s="40" customFormat="1" ht="30" customHeight="1">
      <c r="A15" s="11"/>
      <c r="B15" s="56" t="s">
        <v>17</v>
      </c>
      <c r="C15" s="57" t="s">
        <v>11</v>
      </c>
      <c r="D15" s="58">
        <v>1</v>
      </c>
      <c r="E15" s="59">
        <v>45740</v>
      </c>
      <c r="F15" s="59">
        <v>45905</v>
      </c>
      <c r="G15" s="12"/>
      <c r="H15" s="3">
        <f t="shared" ca="1" si="5"/>
        <v>166</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0" customFormat="1" ht="30" customHeight="1">
      <c r="A16" s="11"/>
      <c r="B16" s="56" t="s">
        <v>18</v>
      </c>
      <c r="C16" s="57" t="s">
        <v>19</v>
      </c>
      <c r="D16" s="58">
        <v>1</v>
      </c>
      <c r="E16" s="59">
        <v>45740</v>
      </c>
      <c r="F16" s="59">
        <v>45905</v>
      </c>
      <c r="G16" s="12"/>
      <c r="H16" s="3"/>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c r="A17" s="10"/>
      <c r="B17" s="56" t="s">
        <v>20</v>
      </c>
      <c r="C17" s="57" t="s">
        <v>11</v>
      </c>
      <c r="D17" s="58">
        <v>1</v>
      </c>
      <c r="E17" s="59">
        <f>E15+2</f>
        <v>45742</v>
      </c>
      <c r="F17" s="59">
        <v>45779</v>
      </c>
      <c r="G17" s="12"/>
      <c r="H17" s="3">
        <f t="shared" ca="1" si="5"/>
        <v>38</v>
      </c>
      <c r="I17" s="45"/>
      <c r="J17" s="45"/>
      <c r="K17" s="45"/>
      <c r="L17" s="45"/>
      <c r="M17" s="45"/>
      <c r="N17" s="45"/>
      <c r="O17" s="45"/>
      <c r="P17" s="45"/>
      <c r="Q17" s="45"/>
      <c r="R17" s="45"/>
      <c r="S17" s="45"/>
      <c r="T17" s="45"/>
      <c r="U17" s="50"/>
      <c r="V17" s="50"/>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0" customFormat="1" ht="30" customHeight="1">
      <c r="A18" s="10"/>
      <c r="B18" s="56" t="s">
        <v>21</v>
      </c>
      <c r="C18" s="57" t="s">
        <v>11</v>
      </c>
      <c r="D18" s="58">
        <v>1</v>
      </c>
      <c r="E18" s="59">
        <f>E17</f>
        <v>45742</v>
      </c>
      <c r="F18" s="59">
        <f>F17</f>
        <v>45779</v>
      </c>
      <c r="G18" s="12"/>
      <c r="H18" s="3"/>
      <c r="I18" s="45"/>
      <c r="J18" s="45"/>
      <c r="K18" s="45"/>
      <c r="L18" s="45"/>
      <c r="M18" s="45"/>
      <c r="N18" s="45"/>
      <c r="O18" s="45"/>
      <c r="P18" s="45"/>
      <c r="Q18" s="45"/>
      <c r="R18" s="45"/>
      <c r="S18" s="45"/>
      <c r="T18" s="45"/>
      <c r="U18" s="50"/>
      <c r="V18" s="50"/>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0" customFormat="1" ht="30" customHeight="1">
      <c r="A19" s="10"/>
      <c r="B19" s="56" t="s">
        <v>22</v>
      </c>
      <c r="C19" s="57"/>
      <c r="D19" s="58">
        <v>1</v>
      </c>
      <c r="E19" s="59">
        <v>45740</v>
      </c>
      <c r="F19" s="59">
        <v>45748</v>
      </c>
      <c r="G19" s="12"/>
      <c r="H19" s="3">
        <f t="shared" ca="1" si="5"/>
        <v>9</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c r="A20" s="10"/>
      <c r="B20" s="56" t="s">
        <v>23</v>
      </c>
      <c r="C20" s="57" t="s">
        <v>24</v>
      </c>
      <c r="D20" s="58">
        <v>1</v>
      </c>
      <c r="E20" s="59">
        <v>45740</v>
      </c>
      <c r="F20" s="59">
        <v>45916</v>
      </c>
      <c r="G20" s="12"/>
      <c r="H20" s="3"/>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0" customFormat="1" ht="30" customHeight="1">
      <c r="A21" s="10"/>
      <c r="B21" s="56" t="s">
        <v>25</v>
      </c>
      <c r="C21" s="57" t="s">
        <v>26</v>
      </c>
      <c r="D21" s="58">
        <v>1</v>
      </c>
      <c r="E21" s="59">
        <v>45740</v>
      </c>
      <c r="F21" s="59">
        <v>45910</v>
      </c>
      <c r="G21" s="12"/>
      <c r="H21" s="3"/>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0" customFormat="1" ht="30" customHeight="1">
      <c r="A22" s="10"/>
      <c r="B22" s="56"/>
      <c r="C22" s="57"/>
      <c r="D22" s="58"/>
      <c r="E22" s="59"/>
      <c r="F22" s="59"/>
      <c r="G22" s="12"/>
      <c r="H22" s="3"/>
      <c r="I22" s="45"/>
      <c r="J22" s="45"/>
      <c r="K22" s="45"/>
      <c r="L22" s="45"/>
      <c r="M22" s="45"/>
      <c r="N22" s="45"/>
      <c r="O22" s="45"/>
      <c r="P22" s="45"/>
      <c r="Q22" s="45"/>
      <c r="R22" s="45"/>
      <c r="S22" s="45"/>
      <c r="T22" s="45"/>
      <c r="U22" s="45"/>
      <c r="V22" s="45"/>
      <c r="W22" s="45"/>
      <c r="X22" s="45"/>
      <c r="Y22" s="50"/>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c r="A23" s="10"/>
      <c r="B23" s="60" t="s">
        <v>27</v>
      </c>
      <c r="C23" s="61"/>
      <c r="D23" s="62"/>
      <c r="E23" s="63"/>
      <c r="F23" s="64"/>
      <c r="G23" s="12"/>
      <c r="H23" s="3" t="str">
        <f t="shared" ca="1" si="5"/>
        <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0" customFormat="1" ht="30" customHeight="1">
      <c r="A24" s="10"/>
      <c r="B24" s="65" t="s">
        <v>28</v>
      </c>
      <c r="C24" s="66" t="s">
        <v>11</v>
      </c>
      <c r="D24" s="67">
        <v>1</v>
      </c>
      <c r="E24" s="68">
        <v>45897</v>
      </c>
      <c r="F24" s="68">
        <v>45938</v>
      </c>
      <c r="G24" s="12"/>
      <c r="H24" s="3"/>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0" customFormat="1" ht="30" customHeight="1">
      <c r="A25" s="10"/>
      <c r="B25" s="65" t="s">
        <v>29</v>
      </c>
      <c r="C25" s="66" t="s">
        <v>11</v>
      </c>
      <c r="D25" s="67">
        <v>1</v>
      </c>
      <c r="E25" s="68">
        <v>45932</v>
      </c>
      <c r="F25" s="68">
        <v>45983</v>
      </c>
      <c r="G25" s="12"/>
      <c r="H25" s="3">
        <f t="shared" ca="1" si="5"/>
        <v>52</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0" customFormat="1" ht="30" customHeight="1">
      <c r="A26" s="10"/>
      <c r="B26" s="69" t="s">
        <v>30</v>
      </c>
      <c r="C26" s="70"/>
      <c r="D26" s="71"/>
      <c r="E26" s="72"/>
      <c r="F26" s="73"/>
      <c r="G26" s="12"/>
      <c r="H26" s="3" t="str">
        <f t="shared" ca="1" si="5"/>
        <v/>
      </c>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row>
    <row r="27" spans="1:64" s="40" customFormat="1" ht="30" customHeight="1">
      <c r="A27" s="10"/>
      <c r="B27" s="74" t="s">
        <v>31</v>
      </c>
      <c r="C27" s="75" t="s">
        <v>11</v>
      </c>
      <c r="D27" s="76">
        <v>0.8</v>
      </c>
      <c r="E27" s="77">
        <v>45740</v>
      </c>
      <c r="F27" s="77">
        <v>46011</v>
      </c>
      <c r="G27" s="12"/>
      <c r="H27" s="3">
        <f t="shared" ca="1" si="5"/>
        <v>272</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64" s="40" customFormat="1" ht="30" customHeight="1">
      <c r="A28" s="10"/>
      <c r="B28" s="74" t="s">
        <v>32</v>
      </c>
      <c r="C28" s="75" t="s">
        <v>11</v>
      </c>
      <c r="D28" s="76">
        <v>0.8</v>
      </c>
      <c r="E28" s="77">
        <v>45740</v>
      </c>
      <c r="F28" s="77">
        <v>46011</v>
      </c>
      <c r="G28" s="12"/>
      <c r="H28" s="3">
        <f t="shared" ca="1" si="5"/>
        <v>272</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row>
    <row r="29" spans="1:64" s="40" customFormat="1" ht="30" customHeight="1">
      <c r="A29" s="10"/>
      <c r="B29" s="74" t="s">
        <v>33</v>
      </c>
      <c r="C29" s="75" t="s">
        <v>11</v>
      </c>
      <c r="D29" s="76">
        <v>1</v>
      </c>
      <c r="E29" s="77">
        <v>45740</v>
      </c>
      <c r="F29" s="77">
        <v>46011</v>
      </c>
      <c r="G29" s="12"/>
      <c r="H29" s="3">
        <f t="shared" ca="1" si="5"/>
        <v>272</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0" customFormat="1" ht="30" customHeight="1">
      <c r="A30" s="10"/>
      <c r="B30" s="74" t="s">
        <v>34</v>
      </c>
      <c r="C30" s="75" t="s">
        <v>11</v>
      </c>
      <c r="D30" s="76">
        <v>1</v>
      </c>
      <c r="E30" s="77">
        <v>45740</v>
      </c>
      <c r="F30" s="77">
        <v>45778</v>
      </c>
      <c r="G30" s="12"/>
      <c r="H30" s="3"/>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row>
    <row r="31" spans="1:64" s="40" customFormat="1" ht="30" customHeight="1">
      <c r="A31" s="10"/>
      <c r="B31" s="74" t="s">
        <v>35</v>
      </c>
      <c r="C31" s="75" t="s">
        <v>11</v>
      </c>
      <c r="D31" s="76">
        <v>1</v>
      </c>
      <c r="E31" s="77">
        <f>Project_Start</f>
        <v>45740</v>
      </c>
      <c r="F31" s="77">
        <v>45923</v>
      </c>
      <c r="G31" s="12"/>
      <c r="H31" s="3"/>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row>
    <row r="32" spans="1:64" s="40" customFormat="1" ht="30" customHeight="1">
      <c r="A32" s="10"/>
      <c r="B32" s="74"/>
      <c r="C32" s="75"/>
      <c r="D32" s="76"/>
      <c r="E32" s="77"/>
      <c r="F32" s="77"/>
      <c r="G32" s="12"/>
      <c r="H32" s="3" t="str">
        <f t="shared" ca="1" si="5"/>
        <v/>
      </c>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row>
    <row r="33" spans="1:64" s="40" customFormat="1" ht="30" customHeight="1">
      <c r="A33" s="10"/>
      <c r="B33" s="100" t="s">
        <v>36</v>
      </c>
      <c r="C33" s="101"/>
      <c r="D33" s="102"/>
      <c r="E33" s="103"/>
      <c r="F33" s="103"/>
      <c r="G33" s="12"/>
      <c r="H33" s="3" t="str">
        <f ca="1">IF(OR(ISBLANK(task_start),ISBLANK(task_end)),"",task_end-task_start+1)</f>
        <v/>
      </c>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row>
    <row r="34" spans="1:64" ht="30" customHeight="1">
      <c r="B34" s="104" t="s">
        <v>37</v>
      </c>
      <c r="C34" s="105" t="s">
        <v>11</v>
      </c>
      <c r="D34" s="106">
        <v>1</v>
      </c>
      <c r="E34" s="107">
        <v>45930</v>
      </c>
      <c r="F34" s="107">
        <v>45937</v>
      </c>
      <c r="G34" s="12"/>
      <c r="H34" s="3">
        <f ca="1">IF(OR(ISBLANK(task_start),ISBLANK(task_end)),"",task_end-task_start+1)</f>
        <v>8</v>
      </c>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row>
    <row r="35" spans="1:64" ht="30" customHeight="1">
      <c r="B35" s="104" t="s">
        <v>38</v>
      </c>
      <c r="C35" s="105" t="s">
        <v>11</v>
      </c>
      <c r="D35" s="106">
        <v>1</v>
      </c>
      <c r="E35" s="107">
        <v>45932</v>
      </c>
      <c r="F35" s="107">
        <v>45939</v>
      </c>
      <c r="G35" s="12"/>
      <c r="H35" s="3">
        <f ca="1">IF(OR(ISBLANK(task_start),ISBLANK(task_end)),"",task_end-task_start+1)</f>
        <v>8</v>
      </c>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row>
    <row r="36" spans="1:64" ht="30" customHeight="1">
      <c r="B36" s="104" t="s">
        <v>39</v>
      </c>
      <c r="C36" s="105" t="s">
        <v>11</v>
      </c>
      <c r="D36" s="106">
        <v>1</v>
      </c>
      <c r="E36" s="107">
        <v>45932</v>
      </c>
      <c r="F36" s="107">
        <v>45939</v>
      </c>
      <c r="G36" s="12"/>
      <c r="H36" s="3">
        <f ca="1">IF(OR(ISBLANK(task_start),ISBLANK(task_end)),"",task_end-task_start+1)</f>
        <v>8</v>
      </c>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row>
    <row r="37" spans="1:64" ht="30" customHeight="1">
      <c r="B37" s="104" t="s">
        <v>40</v>
      </c>
      <c r="C37" s="105" t="s">
        <v>11</v>
      </c>
      <c r="D37" s="106">
        <v>1</v>
      </c>
      <c r="E37" s="107">
        <v>45937</v>
      </c>
      <c r="F37" s="107">
        <v>45953</v>
      </c>
      <c r="G37" s="12"/>
      <c r="H37" s="3"/>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row>
    <row r="38" spans="1:64" ht="30" customHeight="1">
      <c r="B38" s="104" t="s">
        <v>41</v>
      </c>
      <c r="C38" s="105" t="s">
        <v>11</v>
      </c>
      <c r="D38" s="106">
        <v>0.1</v>
      </c>
      <c r="E38" s="107">
        <v>45937</v>
      </c>
      <c r="F38" s="107">
        <v>45981</v>
      </c>
      <c r="G38" s="12"/>
      <c r="H38" s="3">
        <f ca="1">IF(OR(ISBLANK(task_start),ISBLANK(task_end)),"",task_end-task_start+1)</f>
        <v>45</v>
      </c>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row>
    <row r="39" spans="1:64" ht="30" customHeight="1">
      <c r="B39" s="108"/>
      <c r="C39" s="109"/>
      <c r="D39" s="110"/>
      <c r="E39" s="111"/>
      <c r="F39" s="110"/>
    </row>
    <row r="40" spans="1:64" ht="30" customHeight="1">
      <c r="B40" s="112" t="s">
        <v>42</v>
      </c>
      <c r="C40" s="113"/>
      <c r="D40" s="114"/>
      <c r="E40" s="115"/>
      <c r="F40" s="115"/>
      <c r="G40" s="12"/>
      <c r="H40" s="3" t="str">
        <f ca="1">IF(OR(ISBLANK(task_start),ISBLANK(task_end)),"",task_end-task_start+1)</f>
        <v/>
      </c>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row>
    <row r="41" spans="1:64" ht="30" customHeight="1" thickBot="1">
      <c r="B41" s="116" t="s">
        <v>43</v>
      </c>
      <c r="C41" s="117" t="s">
        <v>11</v>
      </c>
      <c r="D41" s="118">
        <v>1</v>
      </c>
      <c r="E41" s="119">
        <v>45986</v>
      </c>
      <c r="F41" s="119">
        <v>46000</v>
      </c>
      <c r="G41" s="12"/>
      <c r="H41" s="3">
        <f ca="1">IF(OR(ISBLANK(task_start),ISBLANK(task_end)),"",task_end-task_start+1)</f>
        <v>15</v>
      </c>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row>
    <row r="42" spans="1:64" ht="30" customHeight="1" thickBot="1">
      <c r="B42" s="116" t="s">
        <v>44</v>
      </c>
      <c r="C42" s="117" t="s">
        <v>11</v>
      </c>
      <c r="D42" s="118">
        <v>1</v>
      </c>
      <c r="E42" s="119">
        <v>45974</v>
      </c>
      <c r="F42" s="119">
        <v>45981</v>
      </c>
      <c r="G42" s="12"/>
      <c r="H42" s="3">
        <f ca="1">IF(OR(ISBLANK(task_start),ISBLANK(task_end)),"",task_end-task_start+1)</f>
        <v>8</v>
      </c>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row>
    <row r="43" spans="1:64" ht="30" customHeight="1">
      <c r="B43" s="116" t="s">
        <v>40</v>
      </c>
      <c r="C43" s="117" t="s">
        <v>11</v>
      </c>
      <c r="D43" s="118">
        <v>1</v>
      </c>
      <c r="E43" s="119">
        <v>45937</v>
      </c>
      <c r="F43" s="119">
        <v>45953</v>
      </c>
      <c r="G43" s="12"/>
      <c r="H43" s="3"/>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row>
    <row r="44" spans="1:64" ht="30" customHeight="1" thickBot="1">
      <c r="B44" s="116" t="s">
        <v>41</v>
      </c>
      <c r="C44" s="117" t="s">
        <v>11</v>
      </c>
      <c r="D44" s="118">
        <v>1</v>
      </c>
      <c r="E44" s="119">
        <v>45937</v>
      </c>
      <c r="F44" s="119">
        <v>45981</v>
      </c>
      <c r="G44" s="12"/>
      <c r="H44" s="3">
        <f ca="1">IF(OR(ISBLANK(task_start),ISBLANK(task_end)),"",task_end-task_start+1)</f>
        <v>45</v>
      </c>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row>
    <row r="45" spans="1:64" s="40" customFormat="1" ht="30" customHeight="1" thickBot="1">
      <c r="A45" s="10"/>
      <c r="B45" s="89" t="s">
        <v>45</v>
      </c>
      <c r="C45" s="90"/>
      <c r="D45" s="91"/>
      <c r="E45" s="92"/>
      <c r="F45" s="93"/>
      <c r="G45" s="12"/>
      <c r="H45" s="3" t="str">
        <f t="shared" ref="H45:H63" ca="1" si="6">IF(OR(ISBLANK(task_start),ISBLANK(task_end)),"",task_end-task_start+1)</f>
        <v/>
      </c>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row>
    <row r="46" spans="1:64" s="40" customFormat="1" ht="30" customHeight="1" thickBot="1">
      <c r="A46" s="10"/>
      <c r="B46" s="94" t="s">
        <v>46</v>
      </c>
      <c r="C46" s="95" t="s">
        <v>11</v>
      </c>
      <c r="D46" s="96">
        <v>1</v>
      </c>
      <c r="E46" s="97">
        <v>46036</v>
      </c>
      <c r="F46" s="97">
        <v>46045</v>
      </c>
      <c r="G46" s="12"/>
      <c r="H46" s="3">
        <f t="shared" ca="1" si="6"/>
        <v>10</v>
      </c>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row>
    <row r="47" spans="1:64" s="40" customFormat="1" ht="30" customHeight="1" thickBot="1">
      <c r="A47" s="10"/>
      <c r="B47" s="94" t="s">
        <v>47</v>
      </c>
      <c r="C47" s="95" t="s">
        <v>48</v>
      </c>
      <c r="D47" s="96">
        <v>1</v>
      </c>
      <c r="E47" s="97">
        <v>46009</v>
      </c>
      <c r="F47" s="97">
        <v>46047</v>
      </c>
      <c r="G47" s="12"/>
      <c r="H47" s="3">
        <f t="shared" ca="1" si="6"/>
        <v>39</v>
      </c>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row>
    <row r="48" spans="1:64" s="40" customFormat="1" ht="30" customHeight="1" thickBot="1">
      <c r="A48" s="10"/>
      <c r="B48" s="94" t="s">
        <v>49</v>
      </c>
      <c r="C48" s="95" t="s">
        <v>11</v>
      </c>
      <c r="D48" s="96">
        <v>1</v>
      </c>
      <c r="E48" s="97">
        <v>46045</v>
      </c>
      <c r="F48" s="97">
        <v>46050</v>
      </c>
      <c r="G48" s="12"/>
      <c r="H48" s="3">
        <f t="shared" ca="1" si="6"/>
        <v>6</v>
      </c>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row>
    <row r="49" spans="1:64" s="40" customFormat="1" ht="30" customHeight="1" thickBot="1">
      <c r="A49" s="10"/>
      <c r="B49" s="94" t="s">
        <v>50</v>
      </c>
      <c r="C49" s="95" t="s">
        <v>11</v>
      </c>
      <c r="D49" s="96">
        <v>1</v>
      </c>
      <c r="E49" s="97">
        <v>46050</v>
      </c>
      <c r="F49" s="97">
        <v>46057</v>
      </c>
      <c r="G49" s="12"/>
      <c r="H49" s="3"/>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row>
    <row r="50" spans="1:64" s="40" customFormat="1" ht="30" customHeight="1" thickBot="1">
      <c r="A50" s="10"/>
      <c r="B50" s="94" t="s">
        <v>51</v>
      </c>
      <c r="C50" s="95" t="s">
        <v>11</v>
      </c>
      <c r="D50" s="96">
        <v>1</v>
      </c>
      <c r="E50" s="97">
        <v>46050</v>
      </c>
      <c r="F50" s="97">
        <v>46057</v>
      </c>
      <c r="G50" s="12"/>
      <c r="H50" s="3"/>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row>
    <row r="51" spans="1:64" s="40" customFormat="1" ht="30" customHeight="1" thickBot="1">
      <c r="A51" s="10"/>
      <c r="B51" s="94" t="s">
        <v>52</v>
      </c>
      <c r="C51" s="95" t="s">
        <v>11</v>
      </c>
      <c r="D51" s="96">
        <v>1</v>
      </c>
      <c r="E51" s="97">
        <v>46050</v>
      </c>
      <c r="F51" s="97">
        <v>46057</v>
      </c>
      <c r="G51" s="12"/>
      <c r="H51" s="3"/>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row>
    <row r="52" spans="1:64" s="40" customFormat="1" ht="30" customHeight="1" thickBot="1">
      <c r="A52" s="10"/>
      <c r="B52" s="94" t="s">
        <v>53</v>
      </c>
      <c r="C52" s="95" t="s">
        <v>54</v>
      </c>
      <c r="D52" s="96">
        <v>1</v>
      </c>
      <c r="E52" s="97">
        <v>46050</v>
      </c>
      <c r="F52" s="97">
        <v>46057</v>
      </c>
      <c r="G52" s="12"/>
      <c r="H52" s="3"/>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row>
    <row r="53" spans="1:64" s="40" customFormat="1" ht="30" customHeight="1" thickBot="1">
      <c r="A53" s="10"/>
      <c r="B53" s="94" t="s">
        <v>55</v>
      </c>
      <c r="C53" s="95" t="s">
        <v>56</v>
      </c>
      <c r="D53" s="96">
        <v>1</v>
      </c>
      <c r="E53" s="97">
        <v>46050</v>
      </c>
      <c r="F53" s="97">
        <v>46057</v>
      </c>
      <c r="G53" s="12"/>
      <c r="H53" s="3"/>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row>
    <row r="54" spans="1:64" s="40" customFormat="1" ht="30" customHeight="1" thickBot="1">
      <c r="A54" s="10"/>
      <c r="B54" s="94" t="s">
        <v>57</v>
      </c>
      <c r="C54" s="95" t="s">
        <v>58</v>
      </c>
      <c r="D54" s="96">
        <v>1</v>
      </c>
      <c r="E54" s="97">
        <v>46050</v>
      </c>
      <c r="F54" s="97">
        <v>46057</v>
      </c>
      <c r="G54" s="12"/>
      <c r="H54" s="3"/>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row>
    <row r="55" spans="1:64" s="40" customFormat="1" ht="30" customHeight="1" thickBot="1">
      <c r="A55" s="10"/>
      <c r="B55" s="94" t="s">
        <v>59</v>
      </c>
      <c r="C55" s="95" t="s">
        <v>11</v>
      </c>
      <c r="D55" s="96">
        <v>1</v>
      </c>
      <c r="E55" s="97">
        <v>46050</v>
      </c>
      <c r="F55" s="97">
        <v>46057</v>
      </c>
      <c r="G55" s="12"/>
      <c r="H55" s="3"/>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row>
    <row r="56" spans="1:64" s="40" customFormat="1" ht="30" customHeight="1" thickBot="1">
      <c r="A56" s="10"/>
      <c r="B56" s="94" t="s">
        <v>60</v>
      </c>
      <c r="C56" s="95" t="s">
        <v>11</v>
      </c>
      <c r="D56" s="96">
        <v>1</v>
      </c>
      <c r="E56" s="97">
        <v>46056</v>
      </c>
      <c r="F56" s="97">
        <v>46078</v>
      </c>
      <c r="G56" s="12"/>
      <c r="H56" s="3"/>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row>
    <row r="57" spans="1:64" s="40" customFormat="1" ht="30" customHeight="1" thickBot="1">
      <c r="A57" s="10"/>
      <c r="B57" s="94" t="s">
        <v>61</v>
      </c>
      <c r="C57" s="95" t="s">
        <v>11</v>
      </c>
      <c r="D57" s="96">
        <v>1</v>
      </c>
      <c r="E57" s="97">
        <v>46057</v>
      </c>
      <c r="F57" s="97">
        <v>46078</v>
      </c>
      <c r="G57" s="12"/>
      <c r="H57" s="3"/>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row>
    <row r="58" spans="1:64" s="40" customFormat="1" ht="30" customHeight="1" thickBot="1">
      <c r="A58" s="10"/>
      <c r="B58" s="94" t="s">
        <v>62</v>
      </c>
      <c r="C58" s="95" t="s">
        <v>11</v>
      </c>
      <c r="D58" s="96">
        <v>1</v>
      </c>
      <c r="E58" s="97">
        <v>46058</v>
      </c>
      <c r="F58" s="97">
        <v>46078</v>
      </c>
      <c r="G58" s="12"/>
      <c r="H58" s="3"/>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row>
    <row r="59" spans="1:64" s="40" customFormat="1" ht="30" customHeight="1" thickBot="1">
      <c r="A59" s="10"/>
      <c r="B59" s="94" t="s">
        <v>63</v>
      </c>
      <c r="C59" s="95" t="s">
        <v>11</v>
      </c>
      <c r="D59" s="96">
        <v>1</v>
      </c>
      <c r="E59" s="97">
        <v>46057</v>
      </c>
      <c r="F59" s="97">
        <v>46078</v>
      </c>
      <c r="G59" s="12"/>
      <c r="H59" s="3"/>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row>
    <row r="60" spans="1:64" s="40" customFormat="1" ht="30" customHeight="1" thickBot="1">
      <c r="A60" s="10"/>
      <c r="B60" s="94" t="s">
        <v>64</v>
      </c>
      <c r="C60" s="95" t="s">
        <v>11</v>
      </c>
      <c r="D60" s="96">
        <v>1</v>
      </c>
      <c r="E60" s="97">
        <v>46078</v>
      </c>
      <c r="F60" s="97">
        <v>46099</v>
      </c>
      <c r="G60" s="12"/>
      <c r="H60" s="3"/>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row>
    <row r="61" spans="1:64" s="40" customFormat="1" ht="30" customHeight="1" thickBot="1">
      <c r="A61" s="10"/>
      <c r="B61" s="94" t="s">
        <v>65</v>
      </c>
      <c r="C61" s="95" t="s">
        <v>11</v>
      </c>
      <c r="D61" s="96">
        <v>1</v>
      </c>
      <c r="E61" s="97">
        <v>46090</v>
      </c>
      <c r="F61" s="97">
        <v>46129</v>
      </c>
      <c r="G61" s="12"/>
      <c r="H61" s="3"/>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9"/>
      <c r="BD61" s="99"/>
      <c r="BE61" s="99"/>
      <c r="BF61" s="99"/>
      <c r="BG61" s="99"/>
      <c r="BH61" s="99"/>
      <c r="BI61" s="99"/>
      <c r="BJ61" s="99"/>
      <c r="BK61" s="99"/>
      <c r="BL61" s="99"/>
    </row>
    <row r="62" spans="1:64" s="40" customFormat="1" ht="30" customHeight="1" thickBot="1">
      <c r="A62" s="10"/>
      <c r="B62" s="94" t="s">
        <v>66</v>
      </c>
      <c r="C62" s="95" t="s">
        <v>11</v>
      </c>
      <c r="D62" s="96">
        <v>1</v>
      </c>
      <c r="E62" s="97">
        <v>46078</v>
      </c>
      <c r="F62" s="97">
        <v>46141</v>
      </c>
      <c r="G62" s="12"/>
      <c r="H62" s="3"/>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row>
    <row r="63" spans="1:64" s="40" customFormat="1" ht="29.65" customHeight="1" thickBot="1">
      <c r="A63" s="10"/>
      <c r="B63" s="98"/>
      <c r="C63" s="95"/>
      <c r="D63" s="96"/>
      <c r="E63" s="97"/>
      <c r="F63" s="97"/>
      <c r="G63" s="12"/>
      <c r="H63" s="3" t="str">
        <f t="shared" ca="1" si="6"/>
        <v/>
      </c>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8 D40:D63">
    <cfRule type="dataBar" priority="5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18" priority="37">
      <formula>AND(task_start&lt;=I$5,ROUNDDOWN((task_end-task_start+1)*task_progress,0)+task_start-1&gt;=I$5)</formula>
    </cfRule>
    <cfRule type="expression" dxfId="17" priority="38" stopIfTrue="1">
      <formula>AND(task_end&gt;=I$5,task_start&lt;J$5)</formula>
    </cfRule>
  </conditionalFormatting>
  <conditionalFormatting sqref="I15:BL22">
    <cfRule type="expression" dxfId="16" priority="35">
      <formula>AND(task_start&lt;=I$5,ROUNDDOWN((task_end-task_start+1)*task_progress,0)+task_start-1&gt;=I$5)</formula>
    </cfRule>
    <cfRule type="expression" dxfId="15" priority="36" stopIfTrue="1">
      <formula>AND(task_end&gt;=I$5,task_start&lt;J$5)</formula>
    </cfRule>
  </conditionalFormatting>
  <conditionalFormatting sqref="I23:BL25 I41:BL44">
    <cfRule type="expression" dxfId="14" priority="33">
      <formula>AND(task_start&lt;=I$5,ROUNDDOWN((task_end-task_start+1)*task_progress,0)+task_start-1&gt;=I$5)</formula>
    </cfRule>
    <cfRule type="expression" dxfId="13" priority="34" stopIfTrue="1">
      <formula>AND(task_end&gt;=I$5,task_start&lt;J$5)</formula>
    </cfRule>
  </conditionalFormatting>
  <conditionalFormatting sqref="I26:BL31">
    <cfRule type="expression" dxfId="12" priority="67">
      <formula>AND(task_start&lt;=I$5,ROUNDDOWN((task_end-task_start+1)*task_progress,0)+task_start-1&gt;=I$5)</formula>
    </cfRule>
    <cfRule type="expression" dxfId="11" priority="68" stopIfTrue="1">
      <formula>AND(task_end&gt;=I$5,task_start&lt;J$5)</formula>
    </cfRule>
  </conditionalFormatting>
  <conditionalFormatting sqref="I33:BL33">
    <cfRule type="expression" dxfId="10" priority="30">
      <formula>AND(task_start&lt;=I$5,ROUNDDOWN((task_end-task_start+1)*task_progress,0)+task_start-1&gt;=I$5)</formula>
    </cfRule>
    <cfRule type="expression" dxfId="9" priority="31" stopIfTrue="1">
      <formula>AND(task_end&gt;=I$5,task_start&lt;J$5)</formula>
    </cfRule>
  </conditionalFormatting>
  <conditionalFormatting sqref="I33:BL38">
    <cfRule type="expression" dxfId="8" priority="14">
      <formula>AND(TODAY()&gt;=I$5, TODAY()&lt;J$5)</formula>
    </cfRule>
  </conditionalFormatting>
  <conditionalFormatting sqref="I34:BL38">
    <cfRule type="expression" dxfId="7" priority="15">
      <formula>AND(task_start&lt;=I$5,ROUNDDOWN((task_end-task_start+1)*task_progress,0)+task_start-1&gt;=I$5)</formula>
    </cfRule>
    <cfRule type="expression" dxfId="6" priority="16" stopIfTrue="1">
      <formula>AND(task_end&gt;=I$5,task_start&lt;J$5)</formula>
    </cfRule>
  </conditionalFormatting>
  <conditionalFormatting sqref="I40:BL40">
    <cfRule type="expression" dxfId="5" priority="11">
      <formula>AND(task_start&lt;=I$5,ROUNDDOWN((task_end-task_start+1)*task_progress,0)+task_start-1&gt;=I$5)</formula>
    </cfRule>
    <cfRule type="expression" dxfId="4" priority="12" stopIfTrue="1">
      <formula>AND(task_end&gt;=I$5,task_start&lt;J$5)</formula>
    </cfRule>
  </conditionalFormatting>
  <conditionalFormatting sqref="I40:BL44 I4:BL31">
    <cfRule type="expression" dxfId="3" priority="32">
      <formula>AND(TODAY()&gt;=I$5, TODAY()&lt;J$5)</formula>
    </cfRule>
  </conditionalFormatting>
  <conditionalFormatting sqref="I45:BL62">
    <cfRule type="expression" dxfId="2" priority="1">
      <formula>AND(TODAY()&gt;=I$5, TODAY()&lt;J$5)</formula>
    </cfRule>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0">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s>
  <printOptions horizontalCentered="1"/>
  <pageMargins left="0.35" right="0.35" top="0.35" bottom="0.5" header="0.3" footer="0.3"/>
  <pageSetup paperSize="12"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 D40:D63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8" zoomScaleNormal="100" workbookViewId="0">
      <selection activeCell="A15" sqref="A15"/>
    </sheetView>
  </sheetViews>
  <sheetFormatPr defaultColWidth="9" defaultRowHeight="12.95"/>
  <cols>
    <col min="1" max="1" width="87" style="4" customWidth="1"/>
    <col min="2" max="16384" width="9" style="1"/>
  </cols>
  <sheetData>
    <row r="1" spans="1:2" ht="46.5" customHeight="1"/>
    <row r="2" spans="1:2" s="6" customFormat="1" ht="15">
      <c r="A2" s="80" t="s">
        <v>67</v>
      </c>
      <c r="B2" s="5"/>
    </row>
    <row r="3" spans="1:2" s="8" customFormat="1" ht="27" customHeight="1">
      <c r="A3" s="81"/>
      <c r="B3" s="9"/>
    </row>
    <row r="4" spans="1:2" s="7" customFormat="1" ht="30.6">
      <c r="A4" s="82" t="s">
        <v>68</v>
      </c>
    </row>
    <row r="5" spans="1:2" ht="74.25" customHeight="1">
      <c r="A5" s="83" t="s">
        <v>69</v>
      </c>
    </row>
    <row r="6" spans="1:2" ht="26.25" customHeight="1">
      <c r="A6" s="82" t="s">
        <v>70</v>
      </c>
    </row>
    <row r="7" spans="1:2" s="4" customFormat="1" ht="205.15" customHeight="1">
      <c r="A7" s="84" t="s">
        <v>71</v>
      </c>
    </row>
    <row r="8" spans="1:2" s="7" customFormat="1" ht="30.6">
      <c r="A8" s="82" t="s">
        <v>72</v>
      </c>
    </row>
    <row r="9" spans="1:2" ht="53.85">
      <c r="A9" s="83" t="s">
        <v>73</v>
      </c>
    </row>
    <row r="10" spans="1:2" s="4" customFormat="1" ht="28.35" customHeight="1">
      <c r="A10" s="85" t="s">
        <v>74</v>
      </c>
    </row>
    <row r="11" spans="1:2" s="7" customFormat="1" ht="30.6">
      <c r="A11" s="82" t="s">
        <v>75</v>
      </c>
    </row>
    <row r="12" spans="1:2" ht="26.85">
      <c r="A12" s="83" t="s">
        <v>76</v>
      </c>
    </row>
    <row r="13" spans="1:2" s="4" customFormat="1" ht="28.35" customHeight="1">
      <c r="A13" s="85" t="s">
        <v>77</v>
      </c>
    </row>
    <row r="14" spans="1:2" s="7" customFormat="1" ht="30.6">
      <c r="A14" s="82" t="s">
        <v>78</v>
      </c>
    </row>
    <row r="15" spans="1:2" ht="75" customHeight="1">
      <c r="A15" s="83" t="s">
        <v>79</v>
      </c>
    </row>
    <row r="16" spans="1:2" ht="67.150000000000006">
      <c r="A16" s="83" t="s">
        <v>80</v>
      </c>
    </row>
    <row r="17" spans="1:1">
      <c r="A17" s="86"/>
    </row>
    <row r="18" spans="1:1">
      <c r="A18" s="86"/>
    </row>
    <row r="19" spans="1:1">
      <c r="A19" s="86"/>
    </row>
    <row r="20" spans="1:1">
      <c r="A20" s="86"/>
    </row>
    <row r="21" spans="1:1">
      <c r="A21" s="86"/>
    </row>
    <row r="22" spans="1:1">
      <c r="A22" s="86"/>
    </row>
    <row r="23" spans="1:1">
      <c r="A23" s="86"/>
    </row>
    <row r="24" spans="1:1">
      <c r="A24" s="8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7DFB23BD9BB14DBAA00A09D22FB835" ma:contentTypeVersion="8" ma:contentTypeDescription="Create a new document." ma:contentTypeScope="" ma:versionID="af90a80d488717b9ef607d954ef2a0cc">
  <xsd:schema xmlns:xsd="http://www.w3.org/2001/XMLSchema" xmlns:xs="http://www.w3.org/2001/XMLSchema" xmlns:p="http://schemas.microsoft.com/office/2006/metadata/properties" xmlns:ns2="eb5155ac-509b-4df1-8c7d-3e0eccb07f7b" targetNamespace="http://schemas.microsoft.com/office/2006/metadata/properties" ma:root="true" ma:fieldsID="739172f4ee1cecc2236a9a713f5b3cc3" ns2:_="">
    <xsd:import namespace="eb5155ac-509b-4df1-8c7d-3e0eccb07f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5155ac-509b-4df1-8c7d-3e0eccb07f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FF064812-1B85-4EAD-A4D9-F536F9F246F5}"/>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Demetrius Schank</cp:lastModifiedBy>
  <cp:revision/>
  <dcterms:created xsi:type="dcterms:W3CDTF">2025-03-27T17:03:27Z</dcterms:created>
  <dcterms:modified xsi:type="dcterms:W3CDTF">2026-04-27T21:48:17Z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0x010100797DFB23BD9BB14DBAA00A09D22FB835</vt:lpwstr>
  </property>
  <property fmtid="{D5CDD505-2E9C-101B-9397-08002B2CF9AE}" pid="3" name="MediaServiceImageTags">
    <vt:lpwstr/>
  </property>
</Properties>
</file>