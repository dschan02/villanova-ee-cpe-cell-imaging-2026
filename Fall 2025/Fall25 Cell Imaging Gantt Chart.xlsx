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codeName="ThisWorkbook"/>
  <mc:AlternateContent xmlns:mc="http://schemas.openxmlformats.org/markup-compatibility/2006">
    <mc:Choice Requires="x15">
      <x15ac:absPath xmlns:x15ac="http://schemas.microsoft.com/office/spreadsheetml/2010/11/ac" url="C:\Users\mlwat\Dropbox (Personal)\Client Folders\Microsoft\Microsoft Office Template Project\02_Template Sent for MS Review\Rapid Refresh Batch B78\"/>
    </mc:Choice>
  </mc:AlternateContent>
  <xr:revisionPtr revIDLastSave="260" documentId="8_{90306E0A-E6C7-4F99-9478-AD0674F6E5D9}" xr6:coauthVersionLast="47" xr6:coauthVersionMax="47" xr10:uidLastSave="{FF7D7C16-AE5C-489F-9300-BFE36195614D}"/>
  <bookViews>
    <workbookView xWindow="-108" yWindow="-108" windowWidth="23256" windowHeight="1272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5" i="11" l="1"/>
  <c r="H43" i="11"/>
  <c r="H42" i="11"/>
  <c r="H41" i="11"/>
  <c r="H40" i="11"/>
  <c r="H38" i="11"/>
  <c r="H36" i="11"/>
  <c r="H35" i="11"/>
  <c r="H34" i="11"/>
  <c r="H33" i="11"/>
  <c r="E31" i="11"/>
  <c r="F18" i="11"/>
  <c r="H7" i="11"/>
  <c r="E9" i="11" l="1"/>
  <c r="I5" i="11" l="1"/>
  <c r="H14" i="11"/>
  <c r="H8" i="11"/>
  <c r="H23" i="11" l="1"/>
  <c r="H9" i="11"/>
  <c r="E17" i="11"/>
  <c r="E18" i="11" s="1"/>
  <c r="I6" i="11"/>
  <c r="H27" i="11" l="1"/>
  <c r="H26" i="11"/>
  <c r="H10" i="11"/>
  <c r="H25" i="11"/>
  <c r="H15" i="11"/>
  <c r="F11" i="11"/>
  <c r="J5" i="11"/>
  <c r="K5" i="11" s="1"/>
  <c r="L5" i="11" s="1"/>
  <c r="M5" i="11" s="1"/>
  <c r="N5" i="11" s="1"/>
  <c r="O5" i="11" s="1"/>
  <c r="P5" i="11" s="1"/>
  <c r="I4" i="11"/>
  <c r="H29" i="11" l="1"/>
  <c r="H32" i="11"/>
  <c r="H17" i="11"/>
  <c r="H11" i="11"/>
  <c r="H13" i="11"/>
  <c r="P4" i="11"/>
  <c r="Q5" i="11"/>
  <c r="R5" i="11" s="1"/>
  <c r="S5" i="11" s="1"/>
  <c r="T5" i="11" s="1"/>
  <c r="U5" i="11" s="1"/>
  <c r="V5" i="11" s="1"/>
  <c r="W5" i="11" s="1"/>
  <c r="J6" i="11"/>
  <c r="H28" i="11" l="1"/>
  <c r="H19"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<sst xmlns="http://schemas.openxmlformats.org/spreadsheetml/2006/main" count="86" uniqueCount="60">
  <si>
    <t>Cell Imaging 2026</t>
  </si>
  <si>
    <t>Project start:</t>
  </si>
  <si>
    <t>Display week:</t>
  </si>
  <si>
    <t>TASK</t>
  </si>
  <si>
    <t>ASSIGNED TO</t>
  </si>
  <si>
    <t>PROGRESS</t>
  </si>
  <si>
    <t>START</t>
  </si>
  <si>
    <t>END</t>
  </si>
  <si>
    <t xml:space="preserve">Do not delete this row. This row is hidden to preserve a formula that is used to highlight the current day within the project schedule. </t>
  </si>
  <si>
    <t>Initiation</t>
  </si>
  <si>
    <t>Define goals</t>
  </si>
  <si>
    <t>All</t>
  </si>
  <si>
    <t>Observations</t>
  </si>
  <si>
    <t>Conduct Interviews</t>
  </si>
  <si>
    <t>Define tasks</t>
  </si>
  <si>
    <t>Rework Team Contract</t>
  </si>
  <si>
    <t>Planning and design</t>
  </si>
  <si>
    <t>Rework Solution Description</t>
  </si>
  <si>
    <t>Rework Gantt Chart</t>
  </si>
  <si>
    <t>All (main Demetrius)</t>
  </si>
  <si>
    <t>Cost</t>
  </si>
  <si>
    <t>Develop budget</t>
  </si>
  <si>
    <t>Identify risks</t>
  </si>
  <si>
    <t>Research AI</t>
  </si>
  <si>
    <t>Jonathan</t>
  </si>
  <si>
    <t>Research Cell Type Data</t>
  </si>
  <si>
    <t>Demetrius, John</t>
  </si>
  <si>
    <t>Execution</t>
  </si>
  <si>
    <t>Develop Midterm Demo</t>
  </si>
  <si>
    <t>Develop Final Demo</t>
  </si>
  <si>
    <t>Evaluation</t>
  </si>
  <si>
    <t>Monitor progress</t>
  </si>
  <si>
    <t>Evaluate progress</t>
  </si>
  <si>
    <t>Address Risks</t>
  </si>
  <si>
    <t>Round 1 Feedback</t>
  </si>
  <si>
    <t>Advisor Feedback</t>
  </si>
  <si>
    <t>Midterm Goals</t>
  </si>
  <si>
    <t>Personalized Code Annotations</t>
  </si>
  <si>
    <t>Finding engineering standards</t>
  </si>
  <si>
    <t>Update constraints/criterias</t>
  </si>
  <si>
    <t>Testing Plan A17</t>
  </si>
  <si>
    <t>Get ready for finals</t>
  </si>
  <si>
    <t>Final goals</t>
  </si>
  <si>
    <t>Technical Report</t>
  </si>
  <si>
    <t>Slides</t>
  </si>
  <si>
    <t>Establist a constant time</t>
  </si>
  <si>
    <t>SIMPLE GANTT CHART by Vertex42.com</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</si>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</sst>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9">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sz val="11"/>
      <color rgb="FF1D2129"/>
      <name val="Arial"/>
      <family val="2"/>
      <scheme val="minor"/>
    </font>
    <font>
      <u/>
      <sz val="11"/>
      <color indexed="12"/>
      <name val="Arial"/>
      <family val="2"/>
      <scheme val="minor"/>
    </font>
    <font>
      <sz val="24"/>
      <color rgb="FF000000"/>
      <name val="Arial"/>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0">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2"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14">
    <xf numFmtId="0" fontId="0" fillId="0" borderId="0" xfId="0"/>
    <xf numFmtId="0" fontId="1" fillId="0" borderId="0" xfId="0" applyFont="1"/>
    <xf numFmtId="0" fontId="0" fillId="0" borderId="0" xfId="0" applyAlignment="1">
      <alignment horizontal="center"/>
    </xf>
    <xf numFmtId="0" fontId="7" fillId="0" borderId="0" xfId="1" applyFont="1" applyAlignment="1" applyProtection="1"/>
    <xf numFmtId="0" fontId="3" fillId="0" borderId="1" xfId="0" applyFont="1" applyBorder="1" applyAlignment="1">
      <alignment horizontal="center" vertical="center"/>
    </xf>
    <xf numFmtId="0" fontId="1" fillId="0" borderId="0" xfId="0" applyFont="1" applyAlignment="1">
      <alignment vertical="top"/>
    </xf>
    <xf numFmtId="0" fontId="8" fillId="0" borderId="0" xfId="0" applyFont="1" applyAlignment="1">
      <alignment horizontal="left" vertical="center"/>
    </xf>
    <xf numFmtId="0" fontId="9" fillId="0" borderId="0" xfId="0" applyFont="1" applyAlignment="1">
      <alignment horizontal="left" vertical="center"/>
    </xf>
    <xf numFmtId="0" fontId="11" fillId="0" borderId="0" xfId="0" applyFont="1"/>
    <xf numFmtId="0" fontId="1" fillId="0" borderId="0" xfId="0" applyFont="1" applyAlignment="1">
      <alignment horizontal="left" vertical="top"/>
    </xf>
    <xf numFmtId="0" fontId="10" fillId="0" borderId="0" xfId="0" applyFont="1" applyAlignment="1">
      <alignment vertical="top"/>
    </xf>
    <xf numFmtId="0" fontId="12" fillId="0" borderId="0" xfId="3"/>
    <xf numFmtId="0" fontId="12" fillId="0" borderId="0" xfId="3" applyAlignment="1">
      <alignment wrapText="1"/>
    </xf>
    <xf numFmtId="0" fontId="3" fillId="0" borderId="0" xfId="0" applyFont="1" applyAlignment="1">
      <alignment horizontal="center" vertical="center"/>
    </xf>
    <xf numFmtId="0" fontId="14" fillId="0" borderId="0" xfId="0" applyFont="1"/>
    <xf numFmtId="0" fontId="13" fillId="0" borderId="0" xfId="0" applyFont="1"/>
    <xf numFmtId="0" fontId="13" fillId="0" borderId="0" xfId="0" applyFont="1" applyAlignment="1">
      <alignment horizontal="center" vertical="center"/>
    </xf>
    <xf numFmtId="0" fontId="15" fillId="0" borderId="0" xfId="0" applyFont="1"/>
    <xf numFmtId="0" fontId="15" fillId="0" borderId="0" xfId="0" applyFont="1" applyAlignment="1">
      <alignment horizontal="center"/>
    </xf>
    <xf numFmtId="0" fontId="16" fillId="0" borderId="0" xfId="0" applyFont="1"/>
    <xf numFmtId="0" fontId="17"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0" fillId="12" borderId="18" xfId="0" applyNumberFormat="1" applyFont="1" applyFill="1" applyBorder="1" applyAlignment="1">
      <alignment horizontal="center" vertical="center"/>
    </xf>
    <xf numFmtId="167" fontId="20" fillId="12" borderId="16" xfId="0" applyNumberFormat="1" applyFont="1" applyFill="1" applyBorder="1" applyAlignment="1">
      <alignment horizontal="center" vertical="center"/>
    </xf>
    <xf numFmtId="167" fontId="20" fillId="12" borderId="17" xfId="0" applyNumberFormat="1" applyFont="1" applyFill="1" applyBorder="1" applyAlignment="1">
      <alignment horizontal="center" vertical="center"/>
    </xf>
    <xf numFmtId="0" fontId="21" fillId="2" borderId="15" xfId="0" applyFont="1" applyFill="1" applyBorder="1" applyAlignment="1">
      <alignment horizontal="center" vertical="center" shrinkToFit="1"/>
    </xf>
    <xf numFmtId="0" fontId="21" fillId="2" borderId="12" xfId="0" applyFont="1" applyFill="1" applyBorder="1" applyAlignment="1">
      <alignment horizontal="center" vertical="center" shrinkToFit="1"/>
    </xf>
    <xf numFmtId="0" fontId="21" fillId="2" borderId="13" xfId="0" applyFont="1" applyFill="1" applyBorder="1" applyAlignment="1">
      <alignment horizontal="center" vertical="center" shrinkToFit="1"/>
    </xf>
    <xf numFmtId="0" fontId="18" fillId="0" borderId="0" xfId="0" applyFont="1"/>
    <xf numFmtId="0" fontId="18" fillId="0" borderId="0" xfId="0" applyFont="1" applyAlignment="1">
      <alignment wrapText="1"/>
    </xf>
    <xf numFmtId="0" fontId="4" fillId="0" borderId="3" xfId="0" applyFont="1" applyBorder="1" applyAlignment="1">
      <alignment vertical="center"/>
    </xf>
    <xf numFmtId="0" fontId="22" fillId="6" borderId="0" xfId="0" applyFont="1" applyFill="1" applyAlignment="1">
      <alignment horizontal="left" vertical="center" indent="1"/>
    </xf>
    <xf numFmtId="0" fontId="18" fillId="6" borderId="0" xfId="11" applyFont="1" applyFill="1" applyBorder="1" applyAlignment="1">
      <alignment vertical="center"/>
    </xf>
    <xf numFmtId="9" fontId="1" fillId="6" borderId="0" xfId="2" applyFont="1" applyFill="1" applyBorder="1" applyAlignment="1">
      <alignment horizontal="center" vertical="center"/>
    </xf>
    <xf numFmtId="164" fontId="18"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0" xfId="0" applyFont="1" applyBorder="1" applyAlignment="1">
      <alignment vertical="center"/>
    </xf>
    <xf numFmtId="0" fontId="4" fillId="0" borderId="0" xfId="0" applyFont="1" applyAlignment="1">
      <alignment vertical="center"/>
    </xf>
    <xf numFmtId="0" fontId="18" fillId="3" borderId="6" xfId="12" applyFont="1" applyFill="1" applyBorder="1">
      <alignment horizontal="left" vertical="center" indent="2"/>
    </xf>
    <xf numFmtId="0" fontId="18" fillId="3" borderId="6" xfId="11" applyFont="1" applyFill="1" applyBorder="1" applyAlignment="1">
      <alignment vertical="center"/>
    </xf>
    <xf numFmtId="9" fontId="1" fillId="3" borderId="6" xfId="2" applyFont="1" applyFill="1" applyBorder="1" applyAlignment="1">
      <alignment horizontal="center" vertical="center"/>
    </xf>
    <xf numFmtId="164" fontId="18" fillId="3" borderId="6" xfId="10" applyFont="1" applyFill="1" applyBorder="1">
      <alignment horizontal="center" vertical="center"/>
    </xf>
    <xf numFmtId="0" fontId="4" fillId="0" borderId="4" xfId="0" applyFont="1" applyBorder="1" applyAlignment="1">
      <alignment vertical="center"/>
    </xf>
    <xf numFmtId="0" fontId="18" fillId="3" borderId="7" xfId="12" applyFont="1" applyFill="1" applyBorder="1">
      <alignment horizontal="left" vertical="center" indent="2"/>
    </xf>
    <xf numFmtId="0" fontId="18" fillId="3" borderId="7" xfId="11" applyFont="1" applyFill="1" applyBorder="1" applyAlignment="1">
      <alignment vertical="center"/>
    </xf>
    <xf numFmtId="9" fontId="1" fillId="3" borderId="7" xfId="2" applyFont="1" applyFill="1" applyBorder="1" applyAlignment="1">
      <alignment horizontal="center" vertical="center"/>
    </xf>
    <xf numFmtId="164" fontId="18" fillId="3" borderId="7" xfId="10" applyFont="1" applyFill="1" applyBorder="1">
      <alignment horizontal="center" vertical="center"/>
    </xf>
    <xf numFmtId="0" fontId="4" fillId="0" borderId="4" xfId="0" applyFont="1" applyBorder="1" applyAlignment="1">
      <alignment horizontal="right" vertical="center"/>
    </xf>
    <xf numFmtId="0" fontId="22" fillId="7" borderId="0" xfId="0" applyFont="1" applyFill="1" applyAlignment="1">
      <alignment horizontal="left" vertical="center" indent="1"/>
    </xf>
    <xf numFmtId="0" fontId="18" fillId="7" borderId="0" xfId="11" applyFont="1" applyFill="1" applyBorder="1" applyAlignment="1">
      <alignment vertical="center"/>
    </xf>
    <xf numFmtId="9" fontId="1" fillId="7" borderId="0" xfId="2" applyFont="1" applyFill="1" applyBorder="1" applyAlignment="1">
      <alignment horizontal="center" vertical="center"/>
    </xf>
    <xf numFmtId="164" fontId="18"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8" fillId="4" borderId="5" xfId="12" applyFont="1" applyFill="1" applyBorder="1">
      <alignment horizontal="left" vertical="center" indent="2"/>
    </xf>
    <xf numFmtId="0" fontId="18" fillId="4" borderId="5" xfId="11" applyFont="1" applyFill="1" applyBorder="1" applyAlignment="1">
      <alignment vertical="center"/>
    </xf>
    <xf numFmtId="9" fontId="1" fillId="4" borderId="5" xfId="2" applyFont="1" applyFill="1" applyBorder="1" applyAlignment="1">
      <alignment horizontal="center" vertical="center"/>
    </xf>
    <xf numFmtId="164" fontId="18" fillId="4" borderId="5" xfId="10" applyFont="1" applyFill="1" applyBorder="1">
      <alignment horizontal="center" vertical="center"/>
    </xf>
    <xf numFmtId="0" fontId="22" fillId="8" borderId="0" xfId="0" applyFont="1" applyFill="1" applyAlignment="1">
      <alignment horizontal="left" vertical="center" indent="1"/>
    </xf>
    <xf numFmtId="0" fontId="18" fillId="8" borderId="0" xfId="11" applyFont="1" applyFill="1" applyBorder="1" applyAlignment="1">
      <alignment vertical="center"/>
    </xf>
    <xf numFmtId="9" fontId="1" fillId="8" borderId="0" xfId="2" applyFont="1" applyFill="1" applyBorder="1" applyAlignment="1">
      <alignment horizontal="center" vertical="center"/>
    </xf>
    <xf numFmtId="164" fontId="18"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18" fillId="5" borderId="8" xfId="12" applyFont="1" applyFill="1" applyBorder="1">
      <alignment horizontal="left" vertical="center" indent="2"/>
    </xf>
    <xf numFmtId="0" fontId="18" fillId="5" borderId="8" xfId="11" applyFont="1" applyFill="1" applyBorder="1" applyAlignment="1">
      <alignment vertical="center"/>
    </xf>
    <xf numFmtId="9" fontId="1" fillId="5" borderId="8" xfId="2" applyFont="1" applyFill="1" applyBorder="1" applyAlignment="1">
      <alignment horizontal="center" vertical="center"/>
    </xf>
    <xf numFmtId="164" fontId="18" fillId="5" borderId="8" xfId="10" applyFont="1" applyFill="1" applyBorder="1">
      <alignment horizontal="center" vertical="center"/>
    </xf>
    <xf numFmtId="0" fontId="22" fillId="9" borderId="0" xfId="0" applyFont="1" applyFill="1" applyAlignment="1">
      <alignment horizontal="left" vertical="center" indent="1"/>
    </xf>
    <xf numFmtId="0" fontId="18" fillId="9" borderId="0" xfId="11" applyFont="1" applyFill="1" applyBorder="1" applyAlignment="1">
      <alignment vertical="center"/>
    </xf>
    <xf numFmtId="9" fontId="1" fillId="9" borderId="0" xfId="2" applyFont="1" applyFill="1" applyBorder="1" applyAlignment="1">
      <alignment horizontal="center" vertical="center"/>
    </xf>
    <xf numFmtId="164" fontId="18"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18" fillId="10" borderId="9" xfId="12" applyFont="1" applyFill="1" applyBorder="1">
      <alignment horizontal="left" vertical="center" indent="2"/>
    </xf>
    <xf numFmtId="0" fontId="18" fillId="10" borderId="9" xfId="11" applyFont="1" applyFill="1" applyBorder="1" applyAlignment="1">
      <alignment vertical="center"/>
    </xf>
    <xf numFmtId="9" fontId="1" fillId="10" borderId="9" xfId="2" applyFont="1" applyFill="1" applyBorder="1" applyAlignment="1">
      <alignment horizontal="center" vertical="center"/>
    </xf>
    <xf numFmtId="164" fontId="18" fillId="10" borderId="9" xfId="10" applyFont="1" applyFill="1" applyBorder="1">
      <alignment horizontal="center" vertical="center"/>
    </xf>
    <xf numFmtId="0" fontId="23" fillId="0" borderId="0" xfId="6" applyFont="1" applyAlignment="1">
      <alignment horizontal="left" vertical="center" indent="1"/>
    </xf>
    <xf numFmtId="0" fontId="23" fillId="0" borderId="0" xfId="7" applyFont="1" applyAlignment="1">
      <alignment horizontal="left" vertical="center" indent="1"/>
    </xf>
    <xf numFmtId="0" fontId="8" fillId="0" borderId="0" xfId="0" applyFont="1" applyAlignment="1">
      <alignment horizontal="left" vertical="center" indent="1"/>
    </xf>
    <xf numFmtId="0" fontId="3" fillId="0" borderId="0" xfId="0" applyFont="1" applyAlignment="1">
      <alignment horizontal="left" vertical="top" indent="1"/>
    </xf>
    <xf numFmtId="0" fontId="23" fillId="0" borderId="0" xfId="0" applyFont="1" applyAlignment="1">
      <alignment horizontal="left" vertical="center" indent="1"/>
    </xf>
    <xf numFmtId="0" fontId="26" fillId="0" borderId="0" xfId="0" applyFont="1" applyAlignment="1">
      <alignment horizontal="left" vertical="top" wrapText="1" indent="1"/>
    </xf>
    <xf numFmtId="0" fontId="0" fillId="0" borderId="0" xfId="0" applyAlignment="1">
      <alignment horizontal="left" vertical="top" wrapText="1" indent="1"/>
    </xf>
    <xf numFmtId="0" fontId="27" fillId="0" borderId="0" xfId="1" applyFont="1" applyAlignment="1" applyProtection="1">
      <alignment horizontal="left" vertical="top" indent="1"/>
    </xf>
    <xf numFmtId="0" fontId="1" fillId="0" borderId="0" xfId="0" applyFont="1" applyAlignment="1">
      <alignment horizontal="left" vertical="top" indent="1"/>
    </xf>
    <xf numFmtId="0" fontId="28" fillId="0" borderId="0" xfId="0" applyFont="1" applyAlignment="1">
      <alignment horizontal="center"/>
    </xf>
    <xf numFmtId="0" fontId="0" fillId="0" borderId="4" xfId="0" applyBorder="1" applyAlignment="1">
      <alignment vertical="center"/>
    </xf>
    <xf numFmtId="0" fontId="18" fillId="0" borderId="8" xfId="12" applyFont="1" applyFill="1" applyBorder="1">
      <alignment horizontal="left" vertical="center" indent="2"/>
    </xf>
    <xf numFmtId="0" fontId="18" fillId="0" borderId="8" xfId="11" applyFont="1" applyFill="1" applyBorder="1" applyAlignment="1">
      <alignment vertical="center"/>
    </xf>
    <xf numFmtId="9" fontId="1" fillId="0" borderId="8" xfId="2" applyFont="1" applyFill="1" applyBorder="1" applyAlignment="1">
      <alignment horizontal="center" vertical="center"/>
    </xf>
    <xf numFmtId="164" fontId="18" fillId="0" borderId="8" xfId="10" applyFont="1" applyFill="1" applyBorder="1">
      <alignment horizontal="center" vertical="center"/>
    </xf>
    <xf numFmtId="0" fontId="22" fillId="0" borderId="0" xfId="0" applyFont="1" applyAlignment="1">
      <alignment horizontal="left" vertical="center" indent="1"/>
    </xf>
    <xf numFmtId="0" fontId="18" fillId="0" borderId="0" xfId="11" applyFont="1" applyFill="1" applyBorder="1" applyAlignment="1">
      <alignment vertical="center"/>
    </xf>
    <xf numFmtId="9" fontId="1" fillId="0" borderId="0" xfId="2" applyFont="1" applyFill="1" applyAlignment="1">
      <alignment horizontal="center" vertical="center"/>
    </xf>
    <xf numFmtId="164" fontId="18" fillId="0" borderId="0" xfId="0" applyNumberFormat="1" applyFont="1" applyAlignment="1">
      <alignment horizontal="center" vertical="center"/>
    </xf>
    <xf numFmtId="164" fontId="1" fillId="0" borderId="0" xfId="0" applyNumberFormat="1" applyFont="1" applyAlignment="1">
      <alignment horizontal="center" vertical="center"/>
    </xf>
    <xf numFmtId="0" fontId="18" fillId="0" borderId="0" xfId="12" applyFont="1" applyFill="1" applyBorder="1">
      <alignment horizontal="left" vertical="center" indent="2"/>
    </xf>
    <xf numFmtId="166" fontId="18" fillId="2" borderId="11" xfId="0" applyNumberFormat="1" applyFont="1" applyFill="1" applyBorder="1" applyAlignment="1">
      <alignment horizontal="center" vertical="center" wrapText="1"/>
    </xf>
    <xf numFmtId="166" fontId="18" fillId="2" borderId="17" xfId="0" applyNumberFormat="1" applyFont="1" applyFill="1" applyBorder="1" applyAlignment="1">
      <alignment horizontal="center" vertical="center" wrapText="1"/>
    </xf>
    <xf numFmtId="166" fontId="18" fillId="2" borderId="16" xfId="0" applyNumberFormat="1" applyFont="1" applyFill="1" applyBorder="1" applyAlignment="1">
      <alignment horizontal="center" vertical="center" wrapText="1"/>
    </xf>
    <xf numFmtId="0" fontId="19" fillId="11" borderId="14" xfId="0" applyFont="1" applyFill="1" applyBorder="1" applyAlignment="1">
      <alignment horizontal="center" vertical="center"/>
    </xf>
    <xf numFmtId="0" fontId="24" fillId="0" borderId="0" xfId="0" applyFont="1" applyAlignment="1">
      <alignment horizontal="left"/>
    </xf>
    <xf numFmtId="165" fontId="24" fillId="0" borderId="0" xfId="9" applyFont="1" applyBorder="1" applyAlignment="1">
      <alignment horizontal="left"/>
    </xf>
    <xf numFmtId="0" fontId="23" fillId="0" borderId="0" xfId="8" applyFont="1" applyAlignment="1">
      <alignment horizontal="left"/>
    </xf>
    <xf numFmtId="0" fontId="12" fillId="0" borderId="0" xfId="3" applyAlignment="1">
      <alignment wrapText="1"/>
    </xf>
    <xf numFmtId="0" fontId="19" fillId="11" borderId="14" xfId="0" applyFont="1" applyFill="1" applyBorder="1" applyAlignment="1">
      <alignment horizontal="left" vertical="center" indent="1"/>
    </xf>
    <xf numFmtId="0" fontId="4" fillId="2" borderId="19" xfId="0" applyFont="1" applyFill="1" applyBorder="1" applyAlignment="1">
      <alignment horizontal="left" indent="1"/>
    </xf>
    <xf numFmtId="0" fontId="19" fillId="11" borderId="14" xfId="0" applyFont="1" applyFill="1" applyBorder="1" applyAlignment="1">
      <alignment vertical="center"/>
    </xf>
    <xf numFmtId="0" fontId="4" fillId="0" borderId="0" xfId="0" applyFont="1" applyAlignment="1"/>
    <xf numFmtId="0" fontId="25" fillId="0" borderId="0" xfId="0" applyFont="1" applyAlignment="1"/>
    <xf numFmtId="0" fontId="4" fillId="2" borderId="19" xfId="0" applyFont="1" applyFill="1" applyBorder="1" applyAlignment="1"/>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36">
    <dxf>
      <border>
        <left style="thin">
          <color theme="5"/>
        </left>
        <right style="thin">
          <color theme="5"/>
        </right>
        <vertical/>
        <horizontal/>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border>
        <left style="thin">
          <color theme="5"/>
        </left>
        <right style="thin">
          <color theme="5"/>
        </right>
        <vertical/>
        <horizontal/>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35"/>
      <tableStyleElement type="headerRow" dxfId="34"/>
      <tableStyleElement type="totalRow" dxfId="33"/>
      <tableStyleElement type="firstColumn" dxfId="32"/>
      <tableStyleElement type="lastColumn" dxfId="31"/>
      <tableStyleElement type="firstRowStripe" dxfId="30"/>
      <tableStyleElement type="secondRowStripe" dxfId="29"/>
      <tableStyleElement type="firstColumnStripe" dxfId="28"/>
      <tableStyleElement type="secondColumnStripe" dxfId="2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45"/>
  <sheetViews>
    <sheetView showGridLines="0" tabSelected="1" showRuler="0" topLeftCell="A27" zoomScaleNormal="100" zoomScalePageLayoutView="70" workbookViewId="0">
      <selection activeCell="AZ6" sqref="AZ6"/>
    </sheetView>
  </sheetViews>
  <sheetFormatPr defaultColWidth="8.75" defaultRowHeight="30" customHeight="1"/>
  <cols>
    <col min="1" max="1" width="2.75" style="11" customWidth="1"/>
    <col min="2" max="2" width="27.375" customWidth="1"/>
    <col min="3" max="3" width="16.75" customWidth="1"/>
    <col min="4" max="4" width="10.75" customWidth="1"/>
    <col min="5" max="5" width="10.75" style="2" customWidth="1"/>
    <col min="6" max="6" width="10.75" customWidth="1"/>
    <col min="7" max="7" width="2.75" customWidth="1"/>
    <col min="8" max="8" width="6" hidden="1" customWidth="1"/>
    <col min="9" max="65" width="2.75" customWidth="1"/>
  </cols>
  <sheetData>
    <row r="1" spans="1:64" ht="90" customHeight="1">
      <c r="A1" s="12"/>
      <c r="B1" s="88" t="s">
        <v>0</v>
      </c>
      <c r="C1" s="14"/>
      <c r="D1" s="15"/>
      <c r="F1" s="16"/>
      <c r="H1" s="1"/>
      <c r="I1" s="106" t="s">
        <v>1</v>
      </c>
      <c r="J1" s="111"/>
      <c r="K1" s="111"/>
      <c r="L1" s="111"/>
      <c r="M1" s="111"/>
      <c r="N1" s="111"/>
      <c r="O1" s="111"/>
      <c r="P1" s="19"/>
      <c r="Q1" s="105">
        <v>45740</v>
      </c>
      <c r="R1" s="112"/>
      <c r="S1" s="112"/>
      <c r="T1" s="112"/>
      <c r="U1" s="112"/>
      <c r="V1" s="112"/>
      <c r="W1" s="112"/>
      <c r="X1" s="112"/>
      <c r="Y1" s="112"/>
      <c r="Z1" s="112"/>
    </row>
    <row r="2" spans="1:64" ht="30" customHeight="1">
      <c r="B2" s="79"/>
      <c r="C2" s="80"/>
      <c r="D2" s="17"/>
      <c r="E2" s="18"/>
      <c r="F2" s="17"/>
      <c r="I2" s="106" t="s">
        <v>2</v>
      </c>
      <c r="J2" s="111"/>
      <c r="K2" s="111"/>
      <c r="L2" s="111"/>
      <c r="M2" s="111"/>
      <c r="N2" s="111"/>
      <c r="O2" s="111"/>
      <c r="P2" s="19"/>
      <c r="Q2" s="104">
        <v>30</v>
      </c>
      <c r="R2" s="112"/>
      <c r="S2" s="112"/>
      <c r="T2" s="112"/>
      <c r="U2" s="112"/>
      <c r="V2" s="112"/>
      <c r="W2" s="112"/>
      <c r="X2" s="112"/>
      <c r="Y2" s="112"/>
      <c r="Z2" s="112"/>
    </row>
    <row r="3" spans="1:64" s="21" customFormat="1" ht="30" customHeight="1">
      <c r="A3" s="11"/>
      <c r="B3" s="20"/>
      <c r="D3" s="22"/>
      <c r="E3" s="23"/>
    </row>
    <row r="4" spans="1:64" s="21" customFormat="1" ht="30" customHeight="1">
      <c r="A4" s="12"/>
      <c r="B4" s="24"/>
      <c r="E4" s="25"/>
      <c r="I4" s="102">
        <f>I5</f>
        <v>45943</v>
      </c>
      <c r="J4" s="100"/>
      <c r="K4" s="100"/>
      <c r="L4" s="100"/>
      <c r="M4" s="100"/>
      <c r="N4" s="100"/>
      <c r="O4" s="100"/>
      <c r="P4" s="100">
        <f>P5</f>
        <v>45950</v>
      </c>
      <c r="Q4" s="100"/>
      <c r="R4" s="100"/>
      <c r="S4" s="100"/>
      <c r="T4" s="100"/>
      <c r="U4" s="100"/>
      <c r="V4" s="100"/>
      <c r="W4" s="100">
        <f>W5</f>
        <v>45957</v>
      </c>
      <c r="X4" s="100"/>
      <c r="Y4" s="100"/>
      <c r="Z4" s="100"/>
      <c r="AA4" s="100"/>
      <c r="AB4" s="100"/>
      <c r="AC4" s="100"/>
      <c r="AD4" s="100">
        <f>AD5</f>
        <v>45964</v>
      </c>
      <c r="AE4" s="100"/>
      <c r="AF4" s="100"/>
      <c r="AG4" s="100"/>
      <c r="AH4" s="100"/>
      <c r="AI4" s="100"/>
      <c r="AJ4" s="100"/>
      <c r="AK4" s="100">
        <f>AK5</f>
        <v>45971</v>
      </c>
      <c r="AL4" s="100"/>
      <c r="AM4" s="100"/>
      <c r="AN4" s="100"/>
      <c r="AO4" s="100"/>
      <c r="AP4" s="100"/>
      <c r="AQ4" s="100"/>
      <c r="AR4" s="100">
        <f>AR5</f>
        <v>45978</v>
      </c>
      <c r="AS4" s="100"/>
      <c r="AT4" s="100"/>
      <c r="AU4" s="100"/>
      <c r="AV4" s="100"/>
      <c r="AW4" s="100"/>
      <c r="AX4" s="100"/>
      <c r="AY4" s="100">
        <f>AY5</f>
        <v>45985</v>
      </c>
      <c r="AZ4" s="100"/>
      <c r="BA4" s="100"/>
      <c r="BB4" s="100"/>
      <c r="BC4" s="100"/>
      <c r="BD4" s="100"/>
      <c r="BE4" s="100"/>
      <c r="BF4" s="100">
        <f>BF5</f>
        <v>45992</v>
      </c>
      <c r="BG4" s="100"/>
      <c r="BH4" s="100"/>
      <c r="BI4" s="100"/>
      <c r="BJ4" s="100"/>
      <c r="BK4" s="100"/>
      <c r="BL4" s="101"/>
    </row>
    <row r="5" spans="1:64" s="21" customFormat="1" ht="15" customHeight="1">
      <c r="A5" s="107"/>
      <c r="B5" s="108" t="s">
        <v>3</v>
      </c>
      <c r="C5" s="110" t="s">
        <v>4</v>
      </c>
      <c r="D5" s="103" t="s">
        <v>5</v>
      </c>
      <c r="E5" s="103" t="s">
        <v>6</v>
      </c>
      <c r="F5" s="103" t="s">
        <v>7</v>
      </c>
      <c r="I5" s="26">
        <f>Project_Start-WEEKDAY(Project_Start,1)+2+7*(Display_Week-1)</f>
        <v>45943</v>
      </c>
      <c r="J5" s="26">
        <f>I5+1</f>
        <v>45944</v>
      </c>
      <c r="K5" s="26">
        <f t="shared" ref="K5:AX5" si="0">J5+1</f>
        <v>45945</v>
      </c>
      <c r="L5" s="26">
        <f t="shared" si="0"/>
        <v>45946</v>
      </c>
      <c r="M5" s="26">
        <f t="shared" si="0"/>
        <v>45947</v>
      </c>
      <c r="N5" s="26">
        <f t="shared" si="0"/>
        <v>45948</v>
      </c>
      <c r="O5" s="27">
        <f t="shared" si="0"/>
        <v>45949</v>
      </c>
      <c r="P5" s="28">
        <f>O5+1</f>
        <v>45950</v>
      </c>
      <c r="Q5" s="26">
        <f>P5+1</f>
        <v>45951</v>
      </c>
      <c r="R5" s="26">
        <f t="shared" si="0"/>
        <v>45952</v>
      </c>
      <c r="S5" s="26">
        <f t="shared" si="0"/>
        <v>45953</v>
      </c>
      <c r="T5" s="26">
        <f t="shared" si="0"/>
        <v>45954</v>
      </c>
      <c r="U5" s="26">
        <f t="shared" si="0"/>
        <v>45955</v>
      </c>
      <c r="V5" s="27">
        <f t="shared" si="0"/>
        <v>45956</v>
      </c>
      <c r="W5" s="28">
        <f>V5+1</f>
        <v>45957</v>
      </c>
      <c r="X5" s="26">
        <f>W5+1</f>
        <v>45958</v>
      </c>
      <c r="Y5" s="26">
        <f t="shared" si="0"/>
        <v>45959</v>
      </c>
      <c r="Z5" s="26">
        <f t="shared" si="0"/>
        <v>45960</v>
      </c>
      <c r="AA5" s="26">
        <f t="shared" si="0"/>
        <v>45961</v>
      </c>
      <c r="AB5" s="26">
        <f t="shared" si="0"/>
        <v>45962</v>
      </c>
      <c r="AC5" s="27">
        <f t="shared" si="0"/>
        <v>45963</v>
      </c>
      <c r="AD5" s="28">
        <f>AC5+1</f>
        <v>45964</v>
      </c>
      <c r="AE5" s="26">
        <f>AD5+1</f>
        <v>45965</v>
      </c>
      <c r="AF5" s="26">
        <f t="shared" si="0"/>
        <v>45966</v>
      </c>
      <c r="AG5" s="26">
        <f t="shared" si="0"/>
        <v>45967</v>
      </c>
      <c r="AH5" s="26">
        <f t="shared" si="0"/>
        <v>45968</v>
      </c>
      <c r="AI5" s="26">
        <f t="shared" si="0"/>
        <v>45969</v>
      </c>
      <c r="AJ5" s="27">
        <f t="shared" si="0"/>
        <v>45970</v>
      </c>
      <c r="AK5" s="28">
        <f>AJ5+1</f>
        <v>45971</v>
      </c>
      <c r="AL5" s="26">
        <f>AK5+1</f>
        <v>45972</v>
      </c>
      <c r="AM5" s="26">
        <f t="shared" si="0"/>
        <v>45973</v>
      </c>
      <c r="AN5" s="26">
        <f t="shared" si="0"/>
        <v>45974</v>
      </c>
      <c r="AO5" s="26">
        <f t="shared" si="0"/>
        <v>45975</v>
      </c>
      <c r="AP5" s="26">
        <f t="shared" si="0"/>
        <v>45976</v>
      </c>
      <c r="AQ5" s="27">
        <f t="shared" si="0"/>
        <v>45977</v>
      </c>
      <c r="AR5" s="28">
        <f>AQ5+1</f>
        <v>45978</v>
      </c>
      <c r="AS5" s="26">
        <f>AR5+1</f>
        <v>45979</v>
      </c>
      <c r="AT5" s="26">
        <f t="shared" si="0"/>
        <v>45980</v>
      </c>
      <c r="AU5" s="26">
        <f t="shared" si="0"/>
        <v>45981</v>
      </c>
      <c r="AV5" s="26">
        <f t="shared" si="0"/>
        <v>45982</v>
      </c>
      <c r="AW5" s="26">
        <f t="shared" si="0"/>
        <v>45983</v>
      </c>
      <c r="AX5" s="27">
        <f t="shared" si="0"/>
        <v>45984</v>
      </c>
      <c r="AY5" s="28">
        <f>AX5+1</f>
        <v>45985</v>
      </c>
      <c r="AZ5" s="26">
        <f>AY5+1</f>
        <v>45986</v>
      </c>
      <c r="BA5" s="26">
        <f t="shared" ref="BA5:BE5" si="1">AZ5+1</f>
        <v>45987</v>
      </c>
      <c r="BB5" s="26">
        <f t="shared" si="1"/>
        <v>45988</v>
      </c>
      <c r="BC5" s="26">
        <f t="shared" si="1"/>
        <v>45989</v>
      </c>
      <c r="BD5" s="26">
        <f t="shared" si="1"/>
        <v>45990</v>
      </c>
      <c r="BE5" s="27">
        <f t="shared" si="1"/>
        <v>45991</v>
      </c>
      <c r="BF5" s="28">
        <f>BE5+1</f>
        <v>45992</v>
      </c>
      <c r="BG5" s="26">
        <f>BF5+1</f>
        <v>45993</v>
      </c>
      <c r="BH5" s="26">
        <f t="shared" ref="BH5:BL5" si="2">BG5+1</f>
        <v>45994</v>
      </c>
      <c r="BI5" s="26">
        <f t="shared" si="2"/>
        <v>45995</v>
      </c>
      <c r="BJ5" s="26">
        <f t="shared" si="2"/>
        <v>45996</v>
      </c>
      <c r="BK5" s="26">
        <f t="shared" si="2"/>
        <v>45997</v>
      </c>
      <c r="BL5" s="26">
        <f t="shared" si="2"/>
        <v>45998</v>
      </c>
    </row>
    <row r="6" spans="1:64" s="21" customFormat="1" ht="15" customHeight="1" thickBot="1">
      <c r="A6" s="107"/>
      <c r="B6" s="109"/>
      <c r="C6" s="113"/>
      <c r="D6" s="113"/>
      <c r="E6" s="113"/>
      <c r="F6" s="113"/>
      <c r="I6" s="29" t="str">
        <f t="shared" ref="I6:AN6" si="3">LEFT(TEXT(I5,"ddd"),1)</f>
        <v>M</v>
      </c>
      <c r="J6" s="30" t="str">
        <f t="shared" si="3"/>
        <v>T</v>
      </c>
      <c r="K6" s="30" t="str">
        <f t="shared" si="3"/>
        <v>W</v>
      </c>
      <c r="L6" s="30" t="str">
        <f t="shared" si="3"/>
        <v>T</v>
      </c>
      <c r="M6" s="30" t="str">
        <f t="shared" si="3"/>
        <v>F</v>
      </c>
      <c r="N6" s="30" t="str">
        <f t="shared" si="3"/>
        <v>S</v>
      </c>
      <c r="O6" s="30" t="str">
        <f t="shared" si="3"/>
        <v>S</v>
      </c>
      <c r="P6" s="30" t="str">
        <f t="shared" si="3"/>
        <v>M</v>
      </c>
      <c r="Q6" s="30" t="str">
        <f t="shared" si="3"/>
        <v>T</v>
      </c>
      <c r="R6" s="30" t="str">
        <f t="shared" si="3"/>
        <v>W</v>
      </c>
      <c r="S6" s="30" t="str">
        <f t="shared" si="3"/>
        <v>T</v>
      </c>
      <c r="T6" s="30" t="str">
        <f t="shared" si="3"/>
        <v>F</v>
      </c>
      <c r="U6" s="30" t="str">
        <f t="shared" si="3"/>
        <v>S</v>
      </c>
      <c r="V6" s="30" t="str">
        <f t="shared" si="3"/>
        <v>S</v>
      </c>
      <c r="W6" s="30" t="str">
        <f t="shared" si="3"/>
        <v>M</v>
      </c>
      <c r="X6" s="30" t="str">
        <f t="shared" si="3"/>
        <v>T</v>
      </c>
      <c r="Y6" s="30" t="str">
        <f t="shared" si="3"/>
        <v>W</v>
      </c>
      <c r="Z6" s="30" t="str">
        <f t="shared" si="3"/>
        <v>T</v>
      </c>
      <c r="AA6" s="30" t="str">
        <f t="shared" si="3"/>
        <v>F</v>
      </c>
      <c r="AB6" s="30" t="str">
        <f t="shared" si="3"/>
        <v>S</v>
      </c>
      <c r="AC6" s="30" t="str">
        <f t="shared" si="3"/>
        <v>S</v>
      </c>
      <c r="AD6" s="30" t="str">
        <f t="shared" si="3"/>
        <v>M</v>
      </c>
      <c r="AE6" s="30" t="str">
        <f t="shared" si="3"/>
        <v>T</v>
      </c>
      <c r="AF6" s="30" t="str">
        <f t="shared" si="3"/>
        <v>W</v>
      </c>
      <c r="AG6" s="30" t="str">
        <f t="shared" si="3"/>
        <v>T</v>
      </c>
      <c r="AH6" s="30" t="str">
        <f t="shared" si="3"/>
        <v>F</v>
      </c>
      <c r="AI6" s="30" t="str">
        <f t="shared" si="3"/>
        <v>S</v>
      </c>
      <c r="AJ6" s="30" t="str">
        <f t="shared" si="3"/>
        <v>S</v>
      </c>
      <c r="AK6" s="30" t="str">
        <f t="shared" si="3"/>
        <v>M</v>
      </c>
      <c r="AL6" s="30" t="str">
        <f t="shared" si="3"/>
        <v>T</v>
      </c>
      <c r="AM6" s="30" t="str">
        <f t="shared" si="3"/>
        <v>W</v>
      </c>
      <c r="AN6" s="30" t="str">
        <f t="shared" si="3"/>
        <v>T</v>
      </c>
      <c r="AO6" s="30" t="str">
        <f t="shared" ref="AO6:BL6" si="4">LEFT(TEXT(AO5,"ddd"),1)</f>
        <v>F</v>
      </c>
      <c r="AP6" s="30" t="str">
        <f t="shared" si="4"/>
        <v>S</v>
      </c>
      <c r="AQ6" s="30" t="str">
        <f t="shared" si="4"/>
        <v>S</v>
      </c>
      <c r="AR6" s="30" t="str">
        <f t="shared" si="4"/>
        <v>M</v>
      </c>
      <c r="AS6" s="30" t="str">
        <f t="shared" si="4"/>
        <v>T</v>
      </c>
      <c r="AT6" s="30" t="str">
        <f t="shared" si="4"/>
        <v>W</v>
      </c>
      <c r="AU6" s="30" t="str">
        <f t="shared" si="4"/>
        <v>T</v>
      </c>
      <c r="AV6" s="30" t="str">
        <f t="shared" si="4"/>
        <v>F</v>
      </c>
      <c r="AW6" s="30" t="str">
        <f t="shared" si="4"/>
        <v>S</v>
      </c>
      <c r="AX6" s="30" t="str">
        <f t="shared" si="4"/>
        <v>S</v>
      </c>
      <c r="AY6" s="30" t="str">
        <f t="shared" si="4"/>
        <v>M</v>
      </c>
      <c r="AZ6" s="30" t="str">
        <f t="shared" si="4"/>
        <v>T</v>
      </c>
      <c r="BA6" s="30" t="str">
        <f t="shared" si="4"/>
        <v>W</v>
      </c>
      <c r="BB6" s="30" t="str">
        <f t="shared" si="4"/>
        <v>T</v>
      </c>
      <c r="BC6" s="30" t="str">
        <f t="shared" si="4"/>
        <v>F</v>
      </c>
      <c r="BD6" s="30" t="str">
        <f t="shared" si="4"/>
        <v>S</v>
      </c>
      <c r="BE6" s="30" t="str">
        <f t="shared" si="4"/>
        <v>S</v>
      </c>
      <c r="BF6" s="30" t="str">
        <f t="shared" si="4"/>
        <v>M</v>
      </c>
      <c r="BG6" s="30" t="str">
        <f t="shared" si="4"/>
        <v>T</v>
      </c>
      <c r="BH6" s="30" t="str">
        <f t="shared" si="4"/>
        <v>W</v>
      </c>
      <c r="BI6" s="30" t="str">
        <f t="shared" si="4"/>
        <v>T</v>
      </c>
      <c r="BJ6" s="30" t="str">
        <f t="shared" si="4"/>
        <v>F</v>
      </c>
      <c r="BK6" s="30" t="str">
        <f t="shared" si="4"/>
        <v>S</v>
      </c>
      <c r="BL6" s="31" t="str">
        <f t="shared" si="4"/>
        <v>S</v>
      </c>
    </row>
    <row r="7" spans="1:64" s="21" customFormat="1" ht="30" hidden="1" customHeight="1" thickBot="1">
      <c r="A7" s="11" t="s">
        <v>8</v>
      </c>
      <c r="B7" s="32"/>
      <c r="C7" s="33"/>
      <c r="D7" s="32"/>
      <c r="E7" s="32"/>
      <c r="F7" s="32"/>
      <c r="H7" s="21" t="str">
        <f ca="1">IF(OR(ISBLANK(task_start),ISBLANK(task_end)),"",task_end-task_start+1)</f>
        <v/>
      </c>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row>
    <row r="8" spans="1:64" s="41" customFormat="1" ht="30" customHeight="1" thickBot="1">
      <c r="A8" s="12"/>
      <c r="B8" s="35" t="s">
        <v>9</v>
      </c>
      <c r="C8" s="36"/>
      <c r="D8" s="37"/>
      <c r="E8" s="38"/>
      <c r="F8" s="39"/>
      <c r="G8" s="13"/>
      <c r="H8" s="4" t="str">
        <f t="shared" ref="H8:H32" ca="1" si="5">IF(OR(ISBLANK(task_start),ISBLANK(task_end)),"",task_end-task_start+1)</f>
        <v/>
      </c>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row>
    <row r="9" spans="1:64" s="41" customFormat="1" ht="30" customHeight="1" thickBot="1">
      <c r="A9" s="12"/>
      <c r="B9" s="42" t="s">
        <v>10</v>
      </c>
      <c r="C9" s="43" t="s">
        <v>11</v>
      </c>
      <c r="D9" s="44">
        <v>0.5</v>
      </c>
      <c r="E9" s="45">
        <f>Project_Start</f>
        <v>45740</v>
      </c>
      <c r="F9" s="45">
        <v>45905</v>
      </c>
      <c r="G9" s="13"/>
      <c r="H9" s="4">
        <f t="shared" ca="1" si="5"/>
        <v>166</v>
      </c>
      <c r="I9" s="46"/>
      <c r="J9" s="46"/>
      <c r="K9" s="46"/>
      <c r="L9" s="46"/>
      <c r="M9" s="46"/>
      <c r="N9" s="46"/>
      <c r="O9" s="46"/>
      <c r="P9" s="46"/>
      <c r="Q9" s="46"/>
      <c r="R9" s="46"/>
      <c r="S9" s="46"/>
      <c r="T9" s="46"/>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c r="BA9" s="46"/>
      <c r="BB9" s="46"/>
      <c r="BC9" s="46"/>
      <c r="BD9" s="46"/>
      <c r="BE9" s="46"/>
      <c r="BF9" s="46"/>
      <c r="BG9" s="46"/>
      <c r="BH9" s="46"/>
      <c r="BI9" s="46"/>
      <c r="BJ9" s="46"/>
      <c r="BK9" s="46"/>
      <c r="BL9" s="46"/>
    </row>
    <row r="10" spans="1:64" s="41" customFormat="1" ht="30" customHeight="1" thickBot="1">
      <c r="A10" s="12"/>
      <c r="B10" s="47" t="s">
        <v>12</v>
      </c>
      <c r="C10" s="48" t="s">
        <v>11</v>
      </c>
      <c r="D10" s="49">
        <v>1</v>
      </c>
      <c r="E10" s="50">
        <v>45714</v>
      </c>
      <c r="F10" s="50">
        <v>45734</v>
      </c>
      <c r="G10" s="13"/>
      <c r="H10" s="4">
        <f t="shared" ca="1" si="5"/>
        <v>21</v>
      </c>
      <c r="I10" s="46"/>
      <c r="J10" s="46"/>
      <c r="K10" s="46"/>
      <c r="L10" s="46"/>
      <c r="M10" s="46"/>
      <c r="N10" s="46"/>
      <c r="O10" s="46"/>
      <c r="P10" s="46"/>
      <c r="Q10" s="46"/>
      <c r="R10" s="46"/>
      <c r="S10" s="46"/>
      <c r="T10" s="46"/>
      <c r="U10" s="51"/>
      <c r="V10" s="51"/>
      <c r="W10" s="46"/>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6"/>
      <c r="AY10" s="46"/>
      <c r="AZ10" s="46"/>
      <c r="BA10" s="46"/>
      <c r="BB10" s="46"/>
      <c r="BC10" s="46"/>
      <c r="BD10" s="46"/>
      <c r="BE10" s="46"/>
      <c r="BF10" s="46"/>
      <c r="BG10" s="46"/>
      <c r="BH10" s="46"/>
      <c r="BI10" s="46"/>
      <c r="BJ10" s="46"/>
      <c r="BK10" s="46"/>
      <c r="BL10" s="46"/>
    </row>
    <row r="11" spans="1:64" s="41" customFormat="1" ht="30" customHeight="1">
      <c r="A11" s="11"/>
      <c r="B11" s="47" t="s">
        <v>13</v>
      </c>
      <c r="C11" s="48" t="s">
        <v>11</v>
      </c>
      <c r="D11" s="49">
        <v>1</v>
      </c>
      <c r="E11" s="50">
        <v>45740</v>
      </c>
      <c r="F11" s="50">
        <f>E11+4</f>
        <v>45744</v>
      </c>
      <c r="G11" s="13"/>
      <c r="H11" s="4">
        <f t="shared" ca="1" si="5"/>
        <v>5</v>
      </c>
      <c r="I11" s="46"/>
      <c r="J11" s="46"/>
      <c r="K11" s="46"/>
      <c r="L11" s="46"/>
      <c r="M11" s="46"/>
      <c r="N11" s="46"/>
      <c r="O11" s="46"/>
      <c r="P11" s="46"/>
      <c r="Q11" s="46"/>
      <c r="R11" s="46"/>
      <c r="S11" s="46"/>
      <c r="T11" s="46"/>
      <c r="U11" s="46"/>
      <c r="V11" s="46"/>
      <c r="W11" s="46"/>
      <c r="X11" s="46"/>
      <c r="Y11" s="46"/>
      <c r="Z11" s="46"/>
      <c r="AA11" s="46"/>
      <c r="AB11" s="46"/>
      <c r="AC11" s="46"/>
      <c r="AD11" s="46"/>
      <c r="AE11" s="46"/>
      <c r="AF11" s="46"/>
      <c r="AG11" s="46"/>
      <c r="AH11" s="46"/>
      <c r="AI11" s="46"/>
      <c r="AJ11" s="46"/>
      <c r="AK11" s="46"/>
      <c r="AL11" s="46"/>
      <c r="AM11" s="46"/>
      <c r="AN11" s="46"/>
      <c r="AO11" s="46"/>
      <c r="AP11" s="46"/>
      <c r="AQ11" s="46"/>
      <c r="AR11" s="46"/>
      <c r="AS11" s="46"/>
      <c r="AT11" s="46"/>
      <c r="AU11" s="46"/>
      <c r="AV11" s="46"/>
      <c r="AW11" s="46"/>
      <c r="AX11" s="46"/>
      <c r="AY11" s="46"/>
      <c r="AZ11" s="46"/>
      <c r="BA11" s="46"/>
      <c r="BB11" s="46"/>
      <c r="BC11" s="46"/>
      <c r="BD11" s="46"/>
      <c r="BE11" s="46"/>
      <c r="BF11" s="46"/>
      <c r="BG11" s="46"/>
      <c r="BH11" s="46"/>
      <c r="BI11" s="46"/>
      <c r="BJ11" s="46"/>
      <c r="BK11" s="46"/>
      <c r="BL11" s="46"/>
    </row>
    <row r="12" spans="1:64" s="41" customFormat="1" ht="30" customHeight="1">
      <c r="A12" s="11"/>
      <c r="B12" s="47" t="s">
        <v>14</v>
      </c>
      <c r="C12" s="48" t="s">
        <v>11</v>
      </c>
      <c r="D12" s="49">
        <v>0.5</v>
      </c>
      <c r="E12" s="50">
        <v>45740</v>
      </c>
      <c r="F12" s="50">
        <v>45905</v>
      </c>
      <c r="G12" s="13"/>
      <c r="H12" s="4"/>
      <c r="I12" s="46"/>
      <c r="J12" s="46"/>
      <c r="K12" s="46"/>
      <c r="L12" s="46"/>
      <c r="M12" s="46"/>
      <c r="N12" s="46"/>
      <c r="O12" s="46"/>
      <c r="P12" s="46"/>
      <c r="Q12" s="46"/>
      <c r="R12" s="46"/>
      <c r="S12" s="46"/>
      <c r="T12" s="46"/>
      <c r="U12" s="46"/>
      <c r="V12" s="46"/>
      <c r="W12" s="46"/>
      <c r="X12" s="46"/>
      <c r="Y12" s="46"/>
      <c r="Z12" s="46"/>
      <c r="AA12" s="46"/>
      <c r="AB12" s="46"/>
      <c r="AC12" s="46"/>
      <c r="AD12" s="46"/>
      <c r="AE12" s="46"/>
      <c r="AF12" s="46"/>
      <c r="AG12" s="46"/>
      <c r="AH12" s="46"/>
      <c r="AI12" s="46"/>
      <c r="AJ12" s="46"/>
      <c r="AK12" s="46"/>
      <c r="AL12" s="46"/>
      <c r="AM12" s="46"/>
      <c r="AN12" s="46"/>
      <c r="AO12" s="46"/>
      <c r="AP12" s="46"/>
      <c r="AQ12" s="46"/>
      <c r="AR12" s="46"/>
      <c r="AS12" s="46"/>
      <c r="AT12" s="46"/>
      <c r="AU12" s="46"/>
      <c r="AV12" s="46"/>
      <c r="AW12" s="46"/>
      <c r="AX12" s="46"/>
      <c r="AY12" s="46"/>
      <c r="AZ12" s="46"/>
      <c r="BA12" s="46"/>
      <c r="BB12" s="46"/>
      <c r="BC12" s="46"/>
      <c r="BD12" s="46"/>
      <c r="BE12" s="46"/>
      <c r="BF12" s="46"/>
      <c r="BG12" s="46"/>
      <c r="BH12" s="46"/>
      <c r="BI12" s="46"/>
      <c r="BJ12" s="46"/>
      <c r="BK12" s="46"/>
      <c r="BL12" s="46"/>
    </row>
    <row r="13" spans="1:64" s="41" customFormat="1" ht="30" customHeight="1">
      <c r="A13" s="11"/>
      <c r="B13" s="47" t="s">
        <v>15</v>
      </c>
      <c r="C13" s="48" t="s">
        <v>11</v>
      </c>
      <c r="D13" s="49">
        <v>0.8</v>
      </c>
      <c r="E13" s="50">
        <v>45740</v>
      </c>
      <c r="F13" s="50">
        <v>45902</v>
      </c>
      <c r="G13" s="13"/>
      <c r="H13" s="4">
        <f t="shared" ca="1" si="5"/>
        <v>163</v>
      </c>
      <c r="I13" s="46"/>
      <c r="J13" s="46"/>
      <c r="K13" s="46"/>
      <c r="L13" s="46"/>
      <c r="M13" s="46"/>
      <c r="N13" s="46"/>
      <c r="O13" s="46"/>
      <c r="P13" s="46"/>
      <c r="Q13" s="46"/>
      <c r="R13" s="46"/>
      <c r="S13" s="46"/>
      <c r="T13" s="46"/>
      <c r="U13" s="46"/>
      <c r="V13" s="46"/>
      <c r="W13" s="46"/>
      <c r="X13" s="46"/>
      <c r="Y13" s="51"/>
      <c r="Z13" s="46"/>
      <c r="AA13" s="46"/>
      <c r="AB13" s="46"/>
      <c r="AC13" s="46"/>
      <c r="AD13" s="46"/>
      <c r="AE13" s="46"/>
      <c r="AF13" s="46"/>
      <c r="AG13" s="46"/>
      <c r="AH13" s="46"/>
      <c r="AI13" s="46"/>
      <c r="AJ13" s="46"/>
      <c r="AK13" s="46"/>
      <c r="AL13" s="46"/>
      <c r="AM13" s="46"/>
      <c r="AN13" s="46"/>
      <c r="AO13" s="46"/>
      <c r="AP13" s="46"/>
      <c r="AQ13" s="46"/>
      <c r="AR13" s="46"/>
      <c r="AS13" s="46"/>
      <c r="AT13" s="46"/>
      <c r="AU13" s="46"/>
      <c r="AV13" s="46"/>
      <c r="AW13" s="46"/>
      <c r="AX13" s="46"/>
      <c r="AY13" s="46"/>
      <c r="AZ13" s="46"/>
      <c r="BA13" s="46"/>
      <c r="BB13" s="46"/>
      <c r="BC13" s="46"/>
      <c r="BD13" s="46"/>
      <c r="BE13" s="46"/>
      <c r="BF13" s="46"/>
      <c r="BG13" s="46"/>
      <c r="BH13" s="46"/>
      <c r="BI13" s="46"/>
      <c r="BJ13" s="46"/>
      <c r="BK13" s="46"/>
      <c r="BL13" s="46"/>
    </row>
    <row r="14" spans="1:64" s="41" customFormat="1" ht="30" customHeight="1">
      <c r="A14" s="12"/>
      <c r="B14" s="52" t="s">
        <v>16</v>
      </c>
      <c r="C14" s="53"/>
      <c r="D14" s="54"/>
      <c r="E14" s="55"/>
      <c r="F14" s="56"/>
      <c r="G14" s="13"/>
      <c r="H14" s="4" t="str">
        <f t="shared" ca="1" si="5"/>
        <v/>
      </c>
    </row>
    <row r="15" spans="1:64" s="41" customFormat="1" ht="30" customHeight="1">
      <c r="A15" s="12"/>
      <c r="B15" s="57" t="s">
        <v>17</v>
      </c>
      <c r="C15" s="58" t="s">
        <v>11</v>
      </c>
      <c r="D15" s="59">
        <v>0.5</v>
      </c>
      <c r="E15" s="60">
        <v>45740</v>
      </c>
      <c r="F15" s="60">
        <v>45905</v>
      </c>
      <c r="G15" s="13"/>
      <c r="H15" s="4">
        <f t="shared" ca="1" si="5"/>
        <v>166</v>
      </c>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c r="BH15" s="46"/>
      <c r="BI15" s="46"/>
      <c r="BJ15" s="46"/>
      <c r="BK15" s="46"/>
      <c r="BL15" s="46"/>
    </row>
    <row r="16" spans="1:64" s="41" customFormat="1" ht="30" customHeight="1">
      <c r="A16" s="12"/>
      <c r="B16" s="57" t="s">
        <v>18</v>
      </c>
      <c r="C16" s="58" t="s">
        <v>19</v>
      </c>
      <c r="D16" s="59">
        <v>0.3</v>
      </c>
      <c r="E16" s="60">
        <v>45740</v>
      </c>
      <c r="F16" s="60">
        <v>45905</v>
      </c>
      <c r="G16" s="13"/>
      <c r="H16" s="4"/>
      <c r="I16" s="46"/>
      <c r="J16" s="46"/>
      <c r="K16" s="46"/>
      <c r="L16" s="46"/>
      <c r="M16" s="46"/>
      <c r="N16" s="46"/>
      <c r="O16" s="46"/>
      <c r="P16" s="46"/>
      <c r="Q16" s="46"/>
      <c r="R16" s="46"/>
      <c r="S16" s="46"/>
      <c r="T16" s="46"/>
      <c r="U16" s="46"/>
      <c r="V16" s="46"/>
      <c r="W16" s="46"/>
      <c r="X16" s="46"/>
      <c r="Y16" s="46"/>
      <c r="Z16" s="46"/>
      <c r="AA16" s="46"/>
      <c r="AB16" s="46"/>
      <c r="AC16" s="46"/>
      <c r="AD16" s="46"/>
      <c r="AE16" s="46"/>
      <c r="AF16" s="46"/>
      <c r="AG16" s="46"/>
      <c r="AH16" s="46"/>
      <c r="AI16" s="46"/>
      <c r="AJ16" s="46"/>
      <c r="AK16" s="46"/>
      <c r="AL16" s="46"/>
      <c r="AM16" s="46"/>
      <c r="AN16" s="46"/>
      <c r="AO16" s="46"/>
      <c r="AP16" s="46"/>
      <c r="AQ16" s="46"/>
      <c r="AR16" s="46"/>
      <c r="AS16" s="46"/>
      <c r="AT16" s="46"/>
      <c r="AU16" s="46"/>
      <c r="AV16" s="46"/>
      <c r="AW16" s="46"/>
      <c r="AX16" s="46"/>
      <c r="AY16" s="46"/>
      <c r="AZ16" s="46"/>
      <c r="BA16" s="46"/>
      <c r="BB16" s="46"/>
      <c r="BC16" s="46"/>
      <c r="BD16" s="46"/>
      <c r="BE16" s="46"/>
      <c r="BF16" s="46"/>
      <c r="BG16" s="46"/>
      <c r="BH16" s="46"/>
      <c r="BI16" s="46"/>
      <c r="BJ16" s="46"/>
      <c r="BK16" s="46"/>
      <c r="BL16" s="46"/>
    </row>
    <row r="17" spans="1:64" s="41" customFormat="1" ht="30" customHeight="1">
      <c r="A17" s="11"/>
      <c r="B17" s="57" t="s">
        <v>20</v>
      </c>
      <c r="C17" s="58" t="s">
        <v>11</v>
      </c>
      <c r="D17" s="59">
        <v>1</v>
      </c>
      <c r="E17" s="60">
        <f>E15+2</f>
        <v>45742</v>
      </c>
      <c r="F17" s="60">
        <v>45779</v>
      </c>
      <c r="G17" s="13"/>
      <c r="H17" s="4">
        <f t="shared" ca="1" si="5"/>
        <v>38</v>
      </c>
      <c r="I17" s="46"/>
      <c r="J17" s="46"/>
      <c r="K17" s="46"/>
      <c r="L17" s="46"/>
      <c r="M17" s="46"/>
      <c r="N17" s="46"/>
      <c r="O17" s="46"/>
      <c r="P17" s="46"/>
      <c r="Q17" s="46"/>
      <c r="R17" s="46"/>
      <c r="S17" s="46"/>
      <c r="T17" s="46"/>
      <c r="U17" s="51"/>
      <c r="V17" s="51"/>
      <c r="W17" s="46"/>
      <c r="X17" s="46"/>
      <c r="Y17" s="46"/>
      <c r="Z17" s="46"/>
      <c r="AA17" s="46"/>
      <c r="AB17" s="46"/>
      <c r="AC17" s="46"/>
      <c r="AD17" s="46"/>
      <c r="AE17" s="46"/>
      <c r="AF17" s="46"/>
      <c r="AG17" s="46"/>
      <c r="AH17" s="46"/>
      <c r="AI17" s="46"/>
      <c r="AJ17" s="46"/>
      <c r="AK17" s="46"/>
      <c r="AL17" s="46"/>
      <c r="AM17" s="46"/>
      <c r="AN17" s="46"/>
      <c r="AO17" s="46"/>
      <c r="AP17" s="46"/>
      <c r="AQ17" s="46"/>
      <c r="AR17" s="46"/>
      <c r="AS17" s="46"/>
      <c r="AT17" s="46"/>
      <c r="AU17" s="46"/>
      <c r="AV17" s="46"/>
      <c r="AW17" s="46"/>
      <c r="AX17" s="46"/>
      <c r="AY17" s="46"/>
      <c r="AZ17" s="46"/>
      <c r="BA17" s="46"/>
      <c r="BB17" s="46"/>
      <c r="BC17" s="46"/>
      <c r="BD17" s="46"/>
      <c r="BE17" s="46"/>
      <c r="BF17" s="46"/>
      <c r="BG17" s="46"/>
      <c r="BH17" s="46"/>
      <c r="BI17" s="46"/>
      <c r="BJ17" s="46"/>
      <c r="BK17" s="46"/>
      <c r="BL17" s="46"/>
    </row>
    <row r="18" spans="1:64" s="41" customFormat="1" ht="30" customHeight="1">
      <c r="A18" s="11"/>
      <c r="B18" s="57" t="s">
        <v>21</v>
      </c>
      <c r="C18" s="58" t="s">
        <v>11</v>
      </c>
      <c r="D18" s="59">
        <v>1</v>
      </c>
      <c r="E18" s="60">
        <f>E17</f>
        <v>45742</v>
      </c>
      <c r="F18" s="60">
        <f>F17</f>
        <v>45779</v>
      </c>
      <c r="G18" s="13"/>
      <c r="H18" s="4"/>
      <c r="I18" s="46"/>
      <c r="J18" s="46"/>
      <c r="K18" s="46"/>
      <c r="L18" s="46"/>
      <c r="M18" s="46"/>
      <c r="N18" s="46"/>
      <c r="O18" s="46"/>
      <c r="P18" s="46"/>
      <c r="Q18" s="46"/>
      <c r="R18" s="46"/>
      <c r="S18" s="46"/>
      <c r="T18" s="46"/>
      <c r="U18" s="51"/>
      <c r="V18" s="51"/>
      <c r="W18" s="46"/>
      <c r="X18" s="46"/>
      <c r="Y18" s="46"/>
      <c r="Z18" s="46"/>
      <c r="AA18" s="46"/>
      <c r="AB18" s="46"/>
      <c r="AC18" s="46"/>
      <c r="AD18" s="46"/>
      <c r="AE18" s="46"/>
      <c r="AF18" s="46"/>
      <c r="AG18" s="46"/>
      <c r="AH18" s="46"/>
      <c r="AI18" s="46"/>
      <c r="AJ18" s="46"/>
      <c r="AK18" s="46"/>
      <c r="AL18" s="46"/>
      <c r="AM18" s="46"/>
      <c r="AN18" s="46"/>
      <c r="AO18" s="46"/>
      <c r="AP18" s="46"/>
      <c r="AQ18" s="46"/>
      <c r="AR18" s="46"/>
      <c r="AS18" s="46"/>
      <c r="AT18" s="46"/>
      <c r="AU18" s="46"/>
      <c r="AV18" s="46"/>
      <c r="AW18" s="46"/>
      <c r="AX18" s="46"/>
      <c r="AY18" s="46"/>
      <c r="AZ18" s="46"/>
      <c r="BA18" s="46"/>
      <c r="BB18" s="46"/>
      <c r="BC18" s="46"/>
      <c r="BD18" s="46"/>
      <c r="BE18" s="46"/>
      <c r="BF18" s="46"/>
      <c r="BG18" s="46"/>
      <c r="BH18" s="46"/>
      <c r="BI18" s="46"/>
      <c r="BJ18" s="46"/>
      <c r="BK18" s="46"/>
      <c r="BL18" s="46"/>
    </row>
    <row r="19" spans="1:64" s="41" customFormat="1" ht="30" customHeight="1">
      <c r="A19" s="11"/>
      <c r="B19" s="57" t="s">
        <v>22</v>
      </c>
      <c r="C19" s="58"/>
      <c r="D19" s="59">
        <v>1</v>
      </c>
      <c r="E19" s="60">
        <v>45740</v>
      </c>
      <c r="F19" s="60">
        <v>45748</v>
      </c>
      <c r="G19" s="13"/>
      <c r="H19" s="4">
        <f t="shared" ca="1" si="5"/>
        <v>9</v>
      </c>
      <c r="I19" s="46"/>
      <c r="J19" s="46"/>
      <c r="K19" s="46"/>
      <c r="L19" s="46"/>
      <c r="M19" s="46"/>
      <c r="N19" s="46"/>
      <c r="O19" s="46"/>
      <c r="P19" s="46"/>
      <c r="Q19" s="46"/>
      <c r="R19" s="46"/>
      <c r="S19" s="46"/>
      <c r="T19" s="46"/>
      <c r="U19" s="46"/>
      <c r="V19" s="46"/>
      <c r="W19" s="46"/>
      <c r="X19" s="46"/>
      <c r="Y19" s="46"/>
      <c r="Z19" s="46"/>
      <c r="AA19" s="46"/>
      <c r="AB19" s="46"/>
      <c r="AC19" s="46"/>
      <c r="AD19" s="46"/>
      <c r="AE19" s="46"/>
      <c r="AF19" s="46"/>
      <c r="AG19" s="46"/>
      <c r="AH19" s="46"/>
      <c r="AI19" s="46"/>
      <c r="AJ19" s="46"/>
      <c r="AK19" s="46"/>
      <c r="AL19" s="46"/>
      <c r="AM19" s="46"/>
      <c r="AN19" s="46"/>
      <c r="AO19" s="46"/>
      <c r="AP19" s="46"/>
      <c r="AQ19" s="46"/>
      <c r="AR19" s="46"/>
      <c r="AS19" s="46"/>
      <c r="AT19" s="46"/>
      <c r="AU19" s="46"/>
      <c r="AV19" s="46"/>
      <c r="AW19" s="46"/>
      <c r="AX19" s="46"/>
      <c r="AY19" s="46"/>
      <c r="AZ19" s="46"/>
      <c r="BA19" s="46"/>
      <c r="BB19" s="46"/>
      <c r="BC19" s="46"/>
      <c r="BD19" s="46"/>
      <c r="BE19" s="46"/>
      <c r="BF19" s="46"/>
      <c r="BG19" s="46"/>
      <c r="BH19" s="46"/>
      <c r="BI19" s="46"/>
      <c r="BJ19" s="46"/>
      <c r="BK19" s="46"/>
      <c r="BL19" s="46"/>
    </row>
    <row r="20" spans="1:64" s="41" customFormat="1" ht="30" customHeight="1">
      <c r="A20" s="11"/>
      <c r="B20" s="57" t="s">
        <v>23</v>
      </c>
      <c r="C20" s="58" t="s">
        <v>24</v>
      </c>
      <c r="D20" s="59">
        <v>0.1</v>
      </c>
      <c r="E20" s="60">
        <v>45740</v>
      </c>
      <c r="F20" s="60">
        <v>45916</v>
      </c>
      <c r="G20" s="13"/>
      <c r="H20" s="4"/>
      <c r="I20" s="46"/>
      <c r="J20" s="46"/>
      <c r="K20" s="46"/>
      <c r="L20" s="46"/>
      <c r="M20" s="46"/>
      <c r="N20" s="46"/>
      <c r="O20" s="46"/>
      <c r="P20" s="46"/>
      <c r="Q20" s="46"/>
      <c r="R20" s="46"/>
      <c r="S20" s="46"/>
      <c r="T20" s="46"/>
      <c r="U20" s="46"/>
      <c r="V20" s="46"/>
      <c r="W20" s="46"/>
      <c r="X20" s="46"/>
      <c r="Y20" s="46"/>
      <c r="Z20" s="46"/>
      <c r="AA20" s="46"/>
      <c r="AB20" s="46"/>
      <c r="AC20" s="46"/>
      <c r="AD20" s="46"/>
      <c r="AE20" s="46"/>
      <c r="AF20" s="46"/>
      <c r="AG20" s="46"/>
      <c r="AH20" s="46"/>
      <c r="AI20" s="46"/>
      <c r="AJ20" s="46"/>
      <c r="AK20" s="46"/>
      <c r="AL20" s="46"/>
      <c r="AM20" s="46"/>
      <c r="AN20" s="46"/>
      <c r="AO20" s="46"/>
      <c r="AP20" s="46"/>
      <c r="AQ20" s="46"/>
      <c r="AR20" s="46"/>
      <c r="AS20" s="46"/>
      <c r="AT20" s="46"/>
      <c r="AU20" s="46"/>
      <c r="AV20" s="46"/>
      <c r="AW20" s="46"/>
      <c r="AX20" s="46"/>
      <c r="AY20" s="46"/>
      <c r="AZ20" s="46"/>
      <c r="BA20" s="46"/>
      <c r="BB20" s="46"/>
      <c r="BC20" s="46"/>
      <c r="BD20" s="46"/>
      <c r="BE20" s="46"/>
      <c r="BF20" s="46"/>
      <c r="BG20" s="46"/>
      <c r="BH20" s="46"/>
      <c r="BI20" s="46"/>
      <c r="BJ20" s="46"/>
      <c r="BK20" s="46"/>
      <c r="BL20" s="46"/>
    </row>
    <row r="21" spans="1:64" s="41" customFormat="1" ht="30" customHeight="1">
      <c r="A21" s="11"/>
      <c r="B21" s="57" t="s">
        <v>25</v>
      </c>
      <c r="C21" s="58" t="s">
        <v>26</v>
      </c>
      <c r="D21" s="59">
        <v>0.6</v>
      </c>
      <c r="E21" s="60">
        <v>45740</v>
      </c>
      <c r="F21" s="60">
        <v>45910</v>
      </c>
      <c r="G21" s="13"/>
      <c r="H21" s="4"/>
      <c r="I21" s="46"/>
      <c r="J21" s="46"/>
      <c r="K21" s="46"/>
      <c r="L21" s="46"/>
      <c r="M21" s="46"/>
      <c r="N21" s="46"/>
      <c r="O21" s="46"/>
      <c r="P21" s="46"/>
      <c r="Q21" s="46"/>
      <c r="R21" s="46"/>
      <c r="S21" s="46"/>
      <c r="T21" s="46"/>
      <c r="U21" s="46"/>
      <c r="V21" s="46"/>
      <c r="W21" s="46"/>
      <c r="X21" s="46"/>
      <c r="Y21" s="46"/>
      <c r="Z21" s="46"/>
      <c r="AA21" s="46"/>
      <c r="AB21" s="46"/>
      <c r="AC21" s="46"/>
      <c r="AD21" s="46"/>
      <c r="AE21" s="46"/>
      <c r="AF21" s="46"/>
      <c r="AG21" s="46"/>
      <c r="AH21" s="46"/>
      <c r="AI21" s="46"/>
      <c r="AJ21" s="46"/>
      <c r="AK21" s="46"/>
      <c r="AL21" s="46"/>
      <c r="AM21" s="46"/>
      <c r="AN21" s="46"/>
      <c r="AO21" s="46"/>
      <c r="AP21" s="46"/>
      <c r="AQ21" s="46"/>
      <c r="AR21" s="46"/>
      <c r="AS21" s="46"/>
      <c r="AT21" s="46"/>
      <c r="AU21" s="46"/>
      <c r="AV21" s="46"/>
      <c r="AW21" s="46"/>
      <c r="AX21" s="46"/>
      <c r="AY21" s="46"/>
      <c r="AZ21" s="46"/>
      <c r="BA21" s="46"/>
      <c r="BB21" s="46"/>
      <c r="BC21" s="46"/>
      <c r="BD21" s="46"/>
      <c r="BE21" s="46"/>
      <c r="BF21" s="46"/>
      <c r="BG21" s="46"/>
      <c r="BH21" s="46"/>
      <c r="BI21" s="46"/>
      <c r="BJ21" s="46"/>
      <c r="BK21" s="46"/>
      <c r="BL21" s="46"/>
    </row>
    <row r="22" spans="1:64" s="41" customFormat="1" ht="30" customHeight="1">
      <c r="A22" s="11"/>
      <c r="B22" s="57"/>
      <c r="C22" s="58"/>
      <c r="D22" s="59">
        <v>0</v>
      </c>
      <c r="E22" s="60"/>
      <c r="F22" s="60"/>
      <c r="G22" s="13"/>
      <c r="H22" s="4"/>
      <c r="I22" s="46"/>
      <c r="J22" s="46"/>
      <c r="K22" s="46"/>
      <c r="L22" s="46"/>
      <c r="M22" s="46"/>
      <c r="N22" s="46"/>
      <c r="O22" s="46"/>
      <c r="P22" s="46"/>
      <c r="Q22" s="46"/>
      <c r="R22" s="46"/>
      <c r="S22" s="46"/>
      <c r="T22" s="46"/>
      <c r="U22" s="46"/>
      <c r="V22" s="46"/>
      <c r="W22" s="46"/>
      <c r="X22" s="46"/>
      <c r="Y22" s="51"/>
      <c r="Z22" s="46"/>
      <c r="AA22" s="46"/>
      <c r="AB22" s="46"/>
      <c r="AC22" s="46"/>
      <c r="AD22" s="46"/>
      <c r="AE22" s="46"/>
      <c r="AF22" s="46"/>
      <c r="AG22" s="46"/>
      <c r="AH22" s="46"/>
      <c r="AI22" s="46"/>
      <c r="AJ22" s="46"/>
      <c r="AK22" s="46"/>
      <c r="AL22" s="46"/>
      <c r="AM22" s="46"/>
      <c r="AN22" s="46"/>
      <c r="AO22" s="46"/>
      <c r="AP22" s="46"/>
      <c r="AQ22" s="46"/>
      <c r="AR22" s="46"/>
      <c r="AS22" s="46"/>
      <c r="AT22" s="46"/>
      <c r="AU22" s="46"/>
      <c r="AV22" s="46"/>
      <c r="AW22" s="46"/>
      <c r="AX22" s="46"/>
      <c r="AY22" s="46"/>
      <c r="AZ22" s="46"/>
      <c r="BA22" s="46"/>
      <c r="BB22" s="46"/>
      <c r="BC22" s="46"/>
      <c r="BD22" s="46"/>
      <c r="BE22" s="46"/>
      <c r="BF22" s="46"/>
      <c r="BG22" s="46"/>
      <c r="BH22" s="46"/>
      <c r="BI22" s="46"/>
      <c r="BJ22" s="46"/>
      <c r="BK22" s="46"/>
      <c r="BL22" s="46"/>
    </row>
    <row r="23" spans="1:64" s="41" customFormat="1" ht="30" customHeight="1">
      <c r="A23" s="11"/>
      <c r="B23" s="61" t="s">
        <v>27</v>
      </c>
      <c r="C23" s="62"/>
      <c r="D23" s="63"/>
      <c r="E23" s="64"/>
      <c r="F23" s="65"/>
      <c r="G23" s="13"/>
      <c r="H23" s="4" t="str">
        <f t="shared" ca="1" si="5"/>
        <v/>
      </c>
      <c r="I23" s="46"/>
      <c r="J23" s="46"/>
      <c r="K23" s="46"/>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row>
    <row r="24" spans="1:64" s="41" customFormat="1" ht="30" customHeight="1">
      <c r="A24" s="11"/>
      <c r="B24" s="66" t="s">
        <v>28</v>
      </c>
      <c r="C24" s="67" t="s">
        <v>11</v>
      </c>
      <c r="D24" s="68">
        <v>1</v>
      </c>
      <c r="E24" s="69">
        <v>45897</v>
      </c>
      <c r="F24" s="69">
        <v>45938</v>
      </c>
      <c r="G24" s="13"/>
      <c r="H24" s="4"/>
      <c r="I24" s="46"/>
      <c r="J24" s="46"/>
      <c r="K24" s="46"/>
      <c r="L24" s="46"/>
      <c r="M24" s="46"/>
      <c r="N24" s="46"/>
      <c r="O24" s="46"/>
      <c r="P24" s="46"/>
      <c r="Q24" s="46"/>
      <c r="R24" s="46"/>
      <c r="S24" s="46"/>
      <c r="T24" s="46"/>
      <c r="U24" s="46"/>
      <c r="V24" s="46"/>
      <c r="W24" s="46"/>
      <c r="X24" s="46"/>
      <c r="Y24" s="46"/>
      <c r="Z24" s="46"/>
      <c r="AA24" s="46"/>
      <c r="AB24" s="46"/>
      <c r="AC24" s="46"/>
      <c r="AD24" s="46"/>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row>
    <row r="25" spans="1:64" s="41" customFormat="1" ht="30" customHeight="1">
      <c r="A25" s="11"/>
      <c r="B25" s="66" t="s">
        <v>29</v>
      </c>
      <c r="C25" s="67" t="s">
        <v>11</v>
      </c>
      <c r="D25" s="68">
        <v>0</v>
      </c>
      <c r="E25" s="69">
        <v>45932</v>
      </c>
      <c r="F25" s="69">
        <v>45983</v>
      </c>
      <c r="G25" s="13"/>
      <c r="H25" s="4">
        <f t="shared" ca="1" si="5"/>
        <v>52</v>
      </c>
      <c r="I25" s="46"/>
      <c r="J25" s="46"/>
      <c r="K25" s="46"/>
      <c r="L25" s="46"/>
      <c r="M25" s="46"/>
      <c r="N25" s="46"/>
      <c r="O25" s="46"/>
      <c r="P25" s="46"/>
      <c r="Q25" s="46"/>
      <c r="R25" s="46"/>
      <c r="S25" s="46"/>
      <c r="T25" s="46"/>
      <c r="U25" s="46"/>
      <c r="V25" s="46"/>
      <c r="W25" s="46"/>
      <c r="X25" s="46"/>
      <c r="Y25" s="46"/>
      <c r="Z25" s="46"/>
      <c r="AA25" s="46"/>
      <c r="AB25" s="46"/>
      <c r="AC25" s="46"/>
      <c r="AD25" s="46"/>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row>
    <row r="26" spans="1:64" s="41" customFormat="1" ht="30" customHeight="1">
      <c r="A26" s="11"/>
      <c r="B26" s="70" t="s">
        <v>30</v>
      </c>
      <c r="C26" s="71"/>
      <c r="D26" s="72"/>
      <c r="E26" s="73"/>
      <c r="F26" s="74"/>
      <c r="G26" s="13"/>
      <c r="H26" s="4" t="str">
        <f t="shared" ca="1" si="5"/>
        <v/>
      </c>
      <c r="I26" s="46"/>
      <c r="J26" s="46"/>
      <c r="K26" s="46"/>
      <c r="L26" s="46"/>
      <c r="M26" s="46"/>
      <c r="N26" s="46"/>
      <c r="O26" s="46"/>
      <c r="P26" s="46"/>
      <c r="Q26" s="46"/>
      <c r="R26" s="46"/>
      <c r="S26" s="46"/>
      <c r="T26" s="46"/>
      <c r="U26" s="46"/>
      <c r="V26" s="46"/>
      <c r="W26" s="46"/>
      <c r="X26" s="46"/>
      <c r="Y26" s="46"/>
      <c r="Z26" s="46"/>
      <c r="AA26" s="46"/>
      <c r="AB26" s="46"/>
      <c r="AC26" s="46"/>
      <c r="AD26" s="46"/>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row>
    <row r="27" spans="1:64" s="41" customFormat="1" ht="30" customHeight="1">
      <c r="A27" s="11"/>
      <c r="B27" s="75" t="s">
        <v>31</v>
      </c>
      <c r="C27" s="76" t="s">
        <v>11</v>
      </c>
      <c r="D27" s="77">
        <v>0.2</v>
      </c>
      <c r="E27" s="78">
        <v>45740</v>
      </c>
      <c r="F27" s="78">
        <v>46011</v>
      </c>
      <c r="G27" s="13"/>
      <c r="H27" s="4">
        <f t="shared" ca="1" si="5"/>
        <v>272</v>
      </c>
      <c r="I27" s="46"/>
      <c r="J27" s="46"/>
      <c r="K27" s="46"/>
      <c r="L27" s="46"/>
      <c r="M27" s="46"/>
      <c r="N27" s="46"/>
      <c r="O27" s="46"/>
      <c r="P27" s="46"/>
      <c r="Q27" s="46"/>
      <c r="R27" s="46"/>
      <c r="S27" s="46"/>
      <c r="T27" s="46"/>
      <c r="U27" s="46"/>
      <c r="V27" s="46"/>
      <c r="W27" s="46"/>
      <c r="X27" s="46"/>
      <c r="Y27" s="46"/>
      <c r="Z27" s="46"/>
      <c r="AA27" s="46"/>
      <c r="AB27" s="46"/>
      <c r="AC27" s="46"/>
      <c r="AD27" s="46"/>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row>
    <row r="28" spans="1:64" s="41" customFormat="1" ht="30" customHeight="1">
      <c r="A28" s="11"/>
      <c r="B28" s="75" t="s">
        <v>32</v>
      </c>
      <c r="C28" s="76" t="s">
        <v>11</v>
      </c>
      <c r="D28" s="77">
        <v>0</v>
      </c>
      <c r="E28" s="78">
        <v>45740</v>
      </c>
      <c r="F28" s="78">
        <v>46011</v>
      </c>
      <c r="G28" s="13"/>
      <c r="H28" s="4">
        <f t="shared" ca="1" si="5"/>
        <v>272</v>
      </c>
      <c r="I28" s="46"/>
      <c r="J28" s="46"/>
      <c r="K28" s="46"/>
      <c r="L28" s="46"/>
      <c r="M28" s="46"/>
      <c r="N28" s="46"/>
      <c r="O28" s="46"/>
      <c r="P28" s="46"/>
      <c r="Q28" s="46"/>
      <c r="R28" s="46"/>
      <c r="S28" s="46"/>
      <c r="T28" s="46"/>
      <c r="U28" s="46"/>
      <c r="V28" s="46"/>
      <c r="W28" s="46"/>
      <c r="X28" s="46"/>
      <c r="Y28" s="46"/>
      <c r="Z28" s="46"/>
      <c r="AA28" s="46"/>
      <c r="AB28" s="46"/>
      <c r="AC28" s="46"/>
      <c r="AD28" s="46"/>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row>
    <row r="29" spans="1:64" s="41" customFormat="1" ht="30" customHeight="1">
      <c r="A29" s="11"/>
      <c r="B29" s="75" t="s">
        <v>33</v>
      </c>
      <c r="C29" s="76" t="s">
        <v>11</v>
      </c>
      <c r="D29" s="77">
        <v>1</v>
      </c>
      <c r="E29" s="78">
        <v>45740</v>
      </c>
      <c r="F29" s="78">
        <v>46011</v>
      </c>
      <c r="G29" s="13"/>
      <c r="H29" s="4">
        <f t="shared" ca="1" si="5"/>
        <v>272</v>
      </c>
      <c r="I29" s="46"/>
      <c r="J29" s="46"/>
      <c r="K29" s="46"/>
      <c r="L29" s="46"/>
      <c r="M29" s="46"/>
      <c r="N29" s="46"/>
      <c r="O29" s="46"/>
      <c r="P29" s="46"/>
      <c r="Q29" s="46"/>
      <c r="R29" s="46"/>
      <c r="S29" s="46"/>
      <c r="T29" s="46"/>
      <c r="U29" s="46"/>
      <c r="V29" s="46"/>
      <c r="W29" s="46"/>
      <c r="X29" s="46"/>
      <c r="Y29" s="46"/>
      <c r="Z29" s="46"/>
      <c r="AA29" s="46"/>
      <c r="AB29" s="46"/>
      <c r="AC29" s="46"/>
      <c r="AD29" s="46"/>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row>
    <row r="30" spans="1:64" s="41" customFormat="1" ht="30" customHeight="1">
      <c r="A30" s="11"/>
      <c r="B30" s="75" t="s">
        <v>34</v>
      </c>
      <c r="C30" s="76" t="s">
        <v>11</v>
      </c>
      <c r="D30" s="77">
        <v>1</v>
      </c>
      <c r="E30" s="78">
        <v>45740</v>
      </c>
      <c r="F30" s="78">
        <v>45778</v>
      </c>
      <c r="G30" s="13"/>
      <c r="H30" s="4"/>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s="40"/>
      <c r="BE30" s="40"/>
      <c r="BF30" s="40"/>
      <c r="BG30" s="40"/>
      <c r="BH30" s="40"/>
      <c r="BI30" s="40"/>
      <c r="BJ30" s="40"/>
      <c r="BK30" s="40"/>
      <c r="BL30" s="40"/>
    </row>
    <row r="31" spans="1:64" s="41" customFormat="1" ht="30" customHeight="1">
      <c r="A31" s="11"/>
      <c r="B31" s="75" t="s">
        <v>35</v>
      </c>
      <c r="C31" s="76" t="s">
        <v>11</v>
      </c>
      <c r="D31" s="77">
        <v>0.2</v>
      </c>
      <c r="E31" s="78">
        <f>Project_Start</f>
        <v>45740</v>
      </c>
      <c r="F31" s="78">
        <v>45923</v>
      </c>
      <c r="G31" s="13"/>
      <c r="H31" s="4"/>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s="40"/>
      <c r="BE31" s="40"/>
      <c r="BF31" s="40"/>
      <c r="BG31" s="40"/>
      <c r="BH31" s="40"/>
      <c r="BI31" s="40"/>
      <c r="BJ31" s="40"/>
      <c r="BK31" s="40"/>
      <c r="BL31" s="40"/>
    </row>
    <row r="32" spans="1:64" s="41" customFormat="1" ht="30" customHeight="1">
      <c r="A32" s="11"/>
      <c r="B32" s="75"/>
      <c r="C32" s="76"/>
      <c r="D32" s="77"/>
      <c r="E32" s="78"/>
      <c r="F32" s="78"/>
      <c r="G32" s="13"/>
      <c r="H32" s="4" t="str">
        <f t="shared" ca="1" si="5"/>
        <v/>
      </c>
      <c r="I32" s="40"/>
      <c r="J32" s="40"/>
      <c r="K32" s="40"/>
      <c r="L32" s="40"/>
      <c r="M32" s="40"/>
      <c r="N32" s="40"/>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s="40"/>
      <c r="BE32" s="40"/>
      <c r="BF32" s="40"/>
      <c r="BG32" s="40"/>
      <c r="BH32" s="40"/>
      <c r="BI32" s="40"/>
      <c r="BJ32" s="40"/>
      <c r="BK32" s="40"/>
      <c r="BL32" s="40"/>
    </row>
    <row r="33" spans="1:64" s="41" customFormat="1" ht="30" customHeight="1">
      <c r="A33" s="11"/>
      <c r="B33" s="94" t="s">
        <v>36</v>
      </c>
      <c r="C33" s="95"/>
      <c r="D33" s="96"/>
      <c r="E33" s="97"/>
      <c r="F33" s="98"/>
      <c r="G33" s="13"/>
      <c r="H33" s="4" t="str">
        <f ca="1">IF(OR(ISBLANK(task_start),ISBLANK(task_end)),"",task_end-task_start+1)</f>
        <v/>
      </c>
      <c r="I33" s="89"/>
      <c r="J33" s="89"/>
      <c r="K33" s="89"/>
      <c r="L33" s="89"/>
      <c r="M33" s="89"/>
      <c r="N33" s="89"/>
      <c r="O33" s="89"/>
      <c r="P33" s="89"/>
      <c r="Q33" s="89"/>
      <c r="R33" s="89"/>
      <c r="S33" s="89"/>
      <c r="T33" s="89"/>
      <c r="U33" s="89"/>
      <c r="V33" s="89"/>
      <c r="W33" s="89"/>
      <c r="X33" s="89"/>
      <c r="Y33" s="89"/>
      <c r="Z33" s="89"/>
      <c r="AA33" s="89"/>
      <c r="AB33" s="89"/>
      <c r="AC33" s="89"/>
      <c r="AD33" s="89"/>
      <c r="AE33" s="89"/>
      <c r="AF33" s="89"/>
      <c r="AG33" s="89"/>
      <c r="AH33" s="89"/>
      <c r="AI33" s="89"/>
      <c r="AJ33" s="89"/>
      <c r="AK33" s="89"/>
      <c r="AL33" s="89"/>
      <c r="AM33" s="89"/>
      <c r="AN33" s="89"/>
      <c r="AO33" s="89"/>
      <c r="AP33" s="89"/>
      <c r="AQ33" s="89"/>
      <c r="AR33" s="89"/>
      <c r="AS33" s="89"/>
      <c r="AT33" s="89"/>
      <c r="AU33" s="89"/>
      <c r="AV33" s="89"/>
      <c r="AW33" s="89"/>
      <c r="AX33" s="89"/>
      <c r="AY33" s="89"/>
      <c r="AZ33" s="89"/>
      <c r="BA33" s="89"/>
      <c r="BB33" s="89"/>
      <c r="BC33" s="89"/>
      <c r="BD33" s="89"/>
      <c r="BE33" s="89"/>
      <c r="BF33" s="89"/>
      <c r="BG33" s="89"/>
      <c r="BH33" s="89"/>
      <c r="BI33" s="89"/>
      <c r="BJ33" s="89"/>
      <c r="BK33" s="89"/>
      <c r="BL33" s="89"/>
    </row>
    <row r="34" spans="1:64" ht="30" customHeight="1">
      <c r="B34" s="90" t="s">
        <v>37</v>
      </c>
      <c r="C34" s="91" t="s">
        <v>11</v>
      </c>
      <c r="D34" s="92">
        <v>1</v>
      </c>
      <c r="E34" s="93">
        <v>45930</v>
      </c>
      <c r="F34" s="93">
        <v>45937</v>
      </c>
      <c r="G34" s="13"/>
      <c r="H34" s="4">
        <f ca="1">IF(OR(ISBLANK(task_start),ISBLANK(task_end)),"",task_end-task_start+1)</f>
        <v>8</v>
      </c>
      <c r="I34" s="89"/>
      <c r="J34" s="89"/>
      <c r="K34" s="89"/>
      <c r="L34" s="89"/>
      <c r="M34" s="89"/>
      <c r="N34" s="89"/>
      <c r="O34" s="89"/>
      <c r="P34" s="89"/>
      <c r="Q34" s="89"/>
      <c r="R34" s="89"/>
      <c r="S34" s="89"/>
      <c r="T34" s="89"/>
      <c r="U34" s="89"/>
      <c r="V34" s="89"/>
      <c r="W34" s="89"/>
      <c r="X34" s="89"/>
      <c r="Y34" s="89"/>
      <c r="Z34" s="89"/>
      <c r="AA34" s="89"/>
      <c r="AB34" s="89"/>
      <c r="AC34" s="89"/>
      <c r="AD34" s="89"/>
      <c r="AE34" s="89"/>
      <c r="AF34" s="89"/>
      <c r="AG34" s="89"/>
      <c r="AH34" s="89"/>
      <c r="AI34" s="89"/>
      <c r="AJ34" s="89"/>
      <c r="AK34" s="89"/>
      <c r="AL34" s="89"/>
      <c r="AM34" s="89"/>
      <c r="AN34" s="89"/>
      <c r="AO34" s="89"/>
      <c r="AP34" s="89"/>
      <c r="AQ34" s="89"/>
      <c r="AR34" s="89"/>
      <c r="AS34" s="89"/>
      <c r="AT34" s="89"/>
      <c r="AU34" s="89"/>
      <c r="AV34" s="89"/>
      <c r="AW34" s="89"/>
      <c r="AX34" s="89"/>
      <c r="AY34" s="89"/>
      <c r="AZ34" s="89"/>
      <c r="BA34" s="89"/>
      <c r="BB34" s="89"/>
      <c r="BC34" s="89"/>
      <c r="BD34" s="89"/>
      <c r="BE34" s="89"/>
      <c r="BF34" s="89"/>
      <c r="BG34" s="89"/>
      <c r="BH34" s="89"/>
      <c r="BI34" s="89"/>
      <c r="BJ34" s="89"/>
      <c r="BK34" s="89"/>
      <c r="BL34" s="89"/>
    </row>
    <row r="35" spans="1:64" ht="30" customHeight="1">
      <c r="B35" s="90" t="s">
        <v>38</v>
      </c>
      <c r="C35" s="91" t="s">
        <v>11</v>
      </c>
      <c r="D35" s="92">
        <v>1</v>
      </c>
      <c r="E35" s="93">
        <v>45932</v>
      </c>
      <c r="F35" s="93">
        <v>45939</v>
      </c>
      <c r="G35" s="13"/>
      <c r="H35" s="4">
        <f ca="1">IF(OR(ISBLANK(task_start),ISBLANK(task_end)),"",task_end-task_start+1)</f>
        <v>8</v>
      </c>
      <c r="I35" s="89"/>
      <c r="J35" s="89"/>
      <c r="K35" s="89"/>
      <c r="L35" s="89"/>
      <c r="M35" s="89"/>
      <c r="N35" s="89"/>
      <c r="O35" s="89"/>
      <c r="P35" s="89"/>
      <c r="Q35" s="89"/>
      <c r="R35" s="89"/>
      <c r="S35" s="89"/>
      <c r="T35" s="89"/>
      <c r="U35" s="89"/>
      <c r="V35" s="89"/>
      <c r="W35" s="89"/>
      <c r="X35" s="89"/>
      <c r="Y35" s="89"/>
      <c r="Z35" s="89"/>
      <c r="AA35" s="89"/>
      <c r="AB35" s="89"/>
      <c r="AC35" s="89"/>
      <c r="AD35" s="89"/>
      <c r="AE35" s="89"/>
      <c r="AF35" s="89"/>
      <c r="AG35" s="89"/>
      <c r="AH35" s="89"/>
      <c r="AI35" s="89"/>
      <c r="AJ35" s="89"/>
      <c r="AK35" s="89"/>
      <c r="AL35" s="89"/>
      <c r="AM35" s="89"/>
      <c r="AN35" s="89"/>
      <c r="AO35" s="89"/>
      <c r="AP35" s="89"/>
      <c r="AQ35" s="89"/>
      <c r="AR35" s="89"/>
      <c r="AS35" s="89"/>
      <c r="AT35" s="89"/>
      <c r="AU35" s="89"/>
      <c r="AV35" s="89"/>
      <c r="AW35" s="89"/>
      <c r="AX35" s="89"/>
      <c r="AY35" s="89"/>
      <c r="AZ35" s="89"/>
      <c r="BA35" s="89"/>
      <c r="BB35" s="89"/>
      <c r="BC35" s="89"/>
      <c r="BD35" s="89"/>
      <c r="BE35" s="89"/>
      <c r="BF35" s="89"/>
      <c r="BG35" s="89"/>
      <c r="BH35" s="89"/>
      <c r="BI35" s="89"/>
      <c r="BJ35" s="89"/>
      <c r="BK35" s="89"/>
      <c r="BL35" s="89"/>
    </row>
    <row r="36" spans="1:64" ht="30" customHeight="1">
      <c r="B36" s="90" t="s">
        <v>39</v>
      </c>
      <c r="C36" s="91" t="s">
        <v>11</v>
      </c>
      <c r="D36" s="92">
        <v>1</v>
      </c>
      <c r="E36" s="93">
        <v>45932</v>
      </c>
      <c r="F36" s="93">
        <v>45939</v>
      </c>
      <c r="G36" s="13"/>
      <c r="H36" s="4">
        <f ca="1">IF(OR(ISBLANK(task_start),ISBLANK(task_end)),"",task_end-task_start+1)</f>
        <v>8</v>
      </c>
      <c r="I36" s="89"/>
      <c r="J36" s="89"/>
      <c r="K36" s="89"/>
      <c r="L36" s="89"/>
      <c r="M36" s="89"/>
      <c r="N36" s="89"/>
      <c r="O36" s="89"/>
      <c r="P36" s="89"/>
      <c r="Q36" s="89"/>
      <c r="R36" s="89"/>
      <c r="S36" s="89"/>
      <c r="T36" s="89"/>
      <c r="U36" s="89"/>
      <c r="V36" s="89"/>
      <c r="W36" s="89"/>
      <c r="X36" s="89"/>
      <c r="Y36" s="89"/>
      <c r="Z36" s="89"/>
      <c r="AA36" s="89"/>
      <c r="AB36" s="89"/>
      <c r="AC36" s="89"/>
      <c r="AD36" s="89"/>
      <c r="AE36" s="89"/>
      <c r="AF36" s="89"/>
      <c r="AG36" s="89"/>
      <c r="AH36" s="89"/>
      <c r="AI36" s="89"/>
      <c r="AJ36" s="89"/>
      <c r="AK36" s="89"/>
      <c r="AL36" s="89"/>
      <c r="AM36" s="89"/>
      <c r="AN36" s="89"/>
      <c r="AO36" s="89"/>
      <c r="AP36" s="89"/>
      <c r="AQ36" s="89"/>
      <c r="AR36" s="89"/>
      <c r="AS36" s="89"/>
      <c r="AT36" s="89"/>
      <c r="AU36" s="89"/>
      <c r="AV36" s="89"/>
      <c r="AW36" s="89"/>
      <c r="AX36" s="89"/>
      <c r="AY36" s="89"/>
      <c r="AZ36" s="89"/>
      <c r="BA36" s="89"/>
      <c r="BB36" s="89"/>
      <c r="BC36" s="89"/>
      <c r="BD36" s="89"/>
      <c r="BE36" s="89"/>
      <c r="BF36" s="89"/>
      <c r="BG36" s="89"/>
      <c r="BH36" s="89"/>
      <c r="BI36" s="89"/>
      <c r="BJ36" s="89"/>
      <c r="BK36" s="89"/>
      <c r="BL36" s="89"/>
    </row>
    <row r="37" spans="1:64" ht="30" customHeight="1">
      <c r="B37" s="90" t="s">
        <v>40</v>
      </c>
      <c r="C37" s="91" t="s">
        <v>11</v>
      </c>
      <c r="D37" s="92">
        <v>1</v>
      </c>
      <c r="E37" s="93">
        <v>45937</v>
      </c>
      <c r="F37" s="93">
        <v>45953</v>
      </c>
      <c r="G37" s="13"/>
      <c r="H37" s="4"/>
      <c r="I37" s="89"/>
      <c r="J37" s="89"/>
      <c r="K37" s="89"/>
      <c r="L37" s="89"/>
      <c r="M37" s="89"/>
      <c r="N37" s="89"/>
      <c r="O37" s="89"/>
      <c r="P37" s="89"/>
      <c r="Q37" s="89"/>
      <c r="R37" s="89"/>
      <c r="S37" s="89"/>
      <c r="T37" s="89"/>
      <c r="U37" s="89"/>
      <c r="V37" s="89"/>
      <c r="W37" s="89"/>
      <c r="X37" s="89"/>
      <c r="Y37" s="89"/>
      <c r="Z37" s="89"/>
      <c r="AA37" s="89"/>
      <c r="AB37" s="89"/>
      <c r="AC37" s="89"/>
      <c r="AD37" s="89"/>
      <c r="AE37" s="89"/>
      <c r="AF37" s="89"/>
      <c r="AG37" s="89"/>
      <c r="AH37" s="89"/>
      <c r="AI37" s="89"/>
      <c r="AJ37" s="89"/>
      <c r="AK37" s="89"/>
      <c r="AL37" s="89"/>
      <c r="AM37" s="89"/>
      <c r="AN37" s="89"/>
      <c r="AO37" s="89"/>
      <c r="AP37" s="89"/>
      <c r="AQ37" s="89"/>
      <c r="AR37" s="89"/>
      <c r="AS37" s="89"/>
      <c r="AT37" s="89"/>
      <c r="AU37" s="89"/>
      <c r="AV37" s="89"/>
      <c r="AW37" s="89"/>
      <c r="AX37" s="89"/>
      <c r="AY37" s="89"/>
      <c r="AZ37" s="89"/>
      <c r="BA37" s="89"/>
      <c r="BB37" s="89"/>
      <c r="BC37" s="89"/>
      <c r="BD37" s="89"/>
      <c r="BE37" s="89"/>
      <c r="BF37" s="89"/>
      <c r="BG37" s="89"/>
      <c r="BH37" s="89"/>
      <c r="BI37" s="89"/>
      <c r="BJ37" s="89"/>
      <c r="BK37" s="89"/>
      <c r="BL37" s="89"/>
    </row>
    <row r="38" spans="1:64" ht="30" customHeight="1">
      <c r="B38" s="90" t="s">
        <v>41</v>
      </c>
      <c r="C38" s="91" t="s">
        <v>11</v>
      </c>
      <c r="D38" s="92">
        <v>0.1</v>
      </c>
      <c r="E38" s="93">
        <v>45937</v>
      </c>
      <c r="F38" s="93">
        <v>45981</v>
      </c>
      <c r="G38" s="13"/>
      <c r="H38" s="4">
        <f ca="1">IF(OR(ISBLANK(task_start),ISBLANK(task_end)),"",task_end-task_start+1)</f>
        <v>45</v>
      </c>
      <c r="I38" s="89"/>
      <c r="J38" s="89"/>
      <c r="K38" s="89"/>
      <c r="L38" s="89"/>
      <c r="M38" s="89"/>
      <c r="N38" s="89"/>
      <c r="O38" s="89"/>
      <c r="P38" s="89"/>
      <c r="Q38" s="89"/>
      <c r="R38" s="89"/>
      <c r="S38" s="89"/>
      <c r="T38" s="89"/>
      <c r="U38" s="89"/>
      <c r="V38" s="89"/>
      <c r="W38" s="89"/>
      <c r="X38" s="89"/>
      <c r="Y38" s="89"/>
      <c r="Z38" s="89"/>
      <c r="AA38" s="89"/>
      <c r="AB38" s="89"/>
      <c r="AC38" s="89"/>
      <c r="AD38" s="89"/>
      <c r="AE38" s="89"/>
      <c r="AF38" s="89"/>
      <c r="AG38" s="89"/>
      <c r="AH38" s="89"/>
      <c r="AI38" s="89"/>
      <c r="AJ38" s="89"/>
      <c r="AK38" s="89"/>
      <c r="AL38" s="89"/>
      <c r="AM38" s="89"/>
      <c r="AN38" s="89"/>
      <c r="AO38" s="89"/>
      <c r="AP38" s="89"/>
      <c r="AQ38" s="89"/>
      <c r="AR38" s="89"/>
      <c r="AS38" s="89"/>
      <c r="AT38" s="89"/>
      <c r="AU38" s="89"/>
      <c r="AV38" s="89"/>
      <c r="AW38" s="89"/>
      <c r="AX38" s="89"/>
      <c r="AY38" s="89"/>
      <c r="AZ38" s="89"/>
      <c r="BA38" s="89"/>
      <c r="BB38" s="89"/>
      <c r="BC38" s="89"/>
      <c r="BD38" s="89"/>
      <c r="BE38" s="89"/>
      <c r="BF38" s="89"/>
      <c r="BG38" s="89"/>
      <c r="BH38" s="89"/>
      <c r="BI38" s="89"/>
      <c r="BJ38" s="89"/>
      <c r="BK38" s="89"/>
      <c r="BL38" s="89"/>
    </row>
    <row r="39" spans="1:64" ht="30" customHeight="1">
      <c r="B39" s="99"/>
      <c r="C39" s="3"/>
    </row>
    <row r="40" spans="1:64" ht="30" customHeight="1">
      <c r="B40" s="94" t="s">
        <v>42</v>
      </c>
      <c r="C40" s="95"/>
      <c r="D40" s="96"/>
      <c r="E40" s="97"/>
      <c r="F40" s="98"/>
      <c r="G40" s="13"/>
      <c r="H40" s="4" t="str">
        <f ca="1">IF(OR(ISBLANK(task_start),ISBLANK(task_end)),"",task_end-task_start+1)</f>
        <v/>
      </c>
      <c r="I40" s="89"/>
      <c r="J40" s="89"/>
      <c r="K40" s="89"/>
      <c r="L40" s="89"/>
      <c r="M40" s="89"/>
      <c r="N40" s="89"/>
      <c r="O40" s="89"/>
      <c r="P40" s="89"/>
      <c r="Q40" s="89"/>
      <c r="R40" s="89"/>
      <c r="S40" s="89"/>
      <c r="T40" s="89"/>
      <c r="U40" s="89"/>
      <c r="V40" s="89"/>
      <c r="W40" s="89"/>
      <c r="X40" s="89"/>
      <c r="Y40" s="89"/>
      <c r="Z40" s="89"/>
      <c r="AA40" s="89"/>
      <c r="AB40" s="89"/>
      <c r="AC40" s="89"/>
      <c r="AD40" s="89"/>
      <c r="AE40" s="89"/>
      <c r="AF40" s="89"/>
      <c r="AG40" s="89"/>
      <c r="AH40" s="89"/>
      <c r="AI40" s="89"/>
      <c r="AJ40" s="89"/>
      <c r="AK40" s="89"/>
      <c r="AL40" s="89"/>
      <c r="AM40" s="89"/>
      <c r="AN40" s="89"/>
      <c r="AO40" s="89"/>
      <c r="AP40" s="89"/>
      <c r="AQ40" s="89"/>
      <c r="AR40" s="89"/>
      <c r="AS40" s="89"/>
      <c r="AT40" s="89"/>
      <c r="AU40" s="89"/>
      <c r="AV40" s="89"/>
      <c r="AW40" s="89"/>
      <c r="AX40" s="89"/>
      <c r="AY40" s="89"/>
      <c r="AZ40" s="89"/>
      <c r="BA40" s="89"/>
      <c r="BB40" s="89"/>
      <c r="BC40" s="89"/>
      <c r="BD40" s="89"/>
      <c r="BE40" s="89"/>
      <c r="BF40" s="89"/>
      <c r="BG40" s="89"/>
      <c r="BH40" s="89"/>
      <c r="BI40" s="89"/>
      <c r="BJ40" s="89"/>
      <c r="BK40" s="89"/>
      <c r="BL40" s="89"/>
    </row>
    <row r="41" spans="1:64" ht="30" customHeight="1">
      <c r="B41" s="90" t="s">
        <v>43</v>
      </c>
      <c r="C41" s="91" t="s">
        <v>11</v>
      </c>
      <c r="D41" s="92">
        <v>0.1</v>
      </c>
      <c r="E41" s="93">
        <v>45986</v>
      </c>
      <c r="F41" s="93">
        <v>46000</v>
      </c>
      <c r="G41" s="13"/>
      <c r="H41" s="4">
        <f ca="1">IF(OR(ISBLANK(task_start),ISBLANK(task_end)),"",task_end-task_start+1)</f>
        <v>15</v>
      </c>
      <c r="I41" s="89"/>
      <c r="J41" s="89"/>
      <c r="K41" s="89"/>
      <c r="L41" s="89"/>
      <c r="M41" s="89"/>
      <c r="N41" s="89"/>
      <c r="O41" s="89"/>
      <c r="P41" s="89"/>
      <c r="Q41" s="89"/>
      <c r="R41" s="89"/>
      <c r="S41" s="89"/>
      <c r="T41" s="89"/>
      <c r="U41" s="89"/>
      <c r="V41" s="89"/>
      <c r="W41" s="89"/>
      <c r="X41" s="89"/>
      <c r="Y41" s="89"/>
      <c r="Z41" s="89"/>
      <c r="AA41" s="89"/>
      <c r="AB41" s="89"/>
      <c r="AC41" s="89"/>
      <c r="AD41" s="89"/>
      <c r="AE41" s="89"/>
      <c r="AF41" s="89"/>
      <c r="AG41" s="89"/>
      <c r="AH41" s="89"/>
      <c r="AI41" s="89"/>
      <c r="AJ41" s="89"/>
      <c r="AK41" s="89"/>
      <c r="AL41" s="89"/>
      <c r="AM41" s="89"/>
      <c r="AN41" s="89"/>
      <c r="AO41" s="89"/>
      <c r="AP41" s="89"/>
      <c r="AQ41" s="89"/>
      <c r="AR41" s="89"/>
      <c r="AS41" s="89"/>
      <c r="AT41" s="89"/>
      <c r="AU41" s="89"/>
      <c r="AV41" s="89"/>
      <c r="AW41" s="89"/>
      <c r="AX41" s="89"/>
      <c r="AY41" s="89"/>
      <c r="AZ41" s="89"/>
      <c r="BA41" s="89"/>
      <c r="BB41" s="89"/>
      <c r="BC41" s="89"/>
      <c r="BD41" s="89"/>
      <c r="BE41" s="89"/>
      <c r="BF41" s="89"/>
      <c r="BG41" s="89"/>
      <c r="BH41" s="89"/>
      <c r="BI41" s="89"/>
      <c r="BJ41" s="89"/>
      <c r="BK41" s="89"/>
      <c r="BL41" s="89"/>
    </row>
    <row r="42" spans="1:64" ht="30" customHeight="1">
      <c r="B42" s="90" t="s">
        <v>44</v>
      </c>
      <c r="C42" s="91" t="s">
        <v>11</v>
      </c>
      <c r="D42" s="92">
        <v>0.1</v>
      </c>
      <c r="E42" s="93">
        <v>45962</v>
      </c>
      <c r="F42" s="93">
        <v>45983</v>
      </c>
      <c r="G42" s="13"/>
      <c r="H42" s="4">
        <f ca="1">IF(OR(ISBLANK(task_start),ISBLANK(task_end)),"",task_end-task_start+1)</f>
        <v>22</v>
      </c>
      <c r="I42" s="89"/>
      <c r="J42" s="89"/>
      <c r="K42" s="89"/>
      <c r="L42" s="89"/>
      <c r="M42" s="89"/>
      <c r="N42" s="89"/>
      <c r="O42" s="89"/>
      <c r="P42" s="89"/>
      <c r="Q42" s="89"/>
      <c r="R42" s="89"/>
      <c r="S42" s="89"/>
      <c r="T42" s="89"/>
      <c r="U42" s="89"/>
      <c r="V42" s="89"/>
      <c r="W42" s="89"/>
      <c r="X42" s="89"/>
      <c r="Y42" s="89"/>
      <c r="Z42" s="89"/>
      <c r="AA42" s="89"/>
      <c r="AB42" s="89"/>
      <c r="AC42" s="89"/>
      <c r="AD42" s="89"/>
      <c r="AE42" s="89"/>
      <c r="AF42" s="89"/>
      <c r="AG42" s="89"/>
      <c r="AH42" s="89"/>
      <c r="AI42" s="89"/>
      <c r="AJ42" s="89"/>
      <c r="AK42" s="89"/>
      <c r="AL42" s="89"/>
      <c r="AM42" s="89"/>
      <c r="AN42" s="89"/>
      <c r="AO42" s="89"/>
      <c r="AP42" s="89"/>
      <c r="AQ42" s="89"/>
      <c r="AR42" s="89"/>
      <c r="AS42" s="89"/>
      <c r="AT42" s="89"/>
      <c r="AU42" s="89"/>
      <c r="AV42" s="89"/>
      <c r="AW42" s="89"/>
      <c r="AX42" s="89"/>
      <c r="AY42" s="89"/>
      <c r="AZ42" s="89"/>
      <c r="BA42" s="89"/>
      <c r="BB42" s="89"/>
      <c r="BC42" s="89"/>
      <c r="BD42" s="89"/>
      <c r="BE42" s="89"/>
      <c r="BF42" s="89"/>
      <c r="BG42" s="89"/>
      <c r="BH42" s="89"/>
      <c r="BI42" s="89"/>
      <c r="BJ42" s="89"/>
      <c r="BK42" s="89"/>
      <c r="BL42" s="89"/>
    </row>
    <row r="43" spans="1:64" ht="30" customHeight="1">
      <c r="B43" s="90" t="s">
        <v>45</v>
      </c>
      <c r="C43" s="91" t="s">
        <v>11</v>
      </c>
      <c r="D43" s="92">
        <v>0.1</v>
      </c>
      <c r="E43" s="93">
        <v>45974</v>
      </c>
      <c r="F43" s="93">
        <v>45981</v>
      </c>
      <c r="G43" s="13"/>
      <c r="H43" s="4">
        <f ca="1">IF(OR(ISBLANK(task_start),ISBLANK(task_end)),"",task_end-task_start+1)</f>
        <v>8</v>
      </c>
      <c r="I43" s="89"/>
      <c r="J43" s="89"/>
      <c r="K43" s="89"/>
      <c r="L43" s="89"/>
      <c r="M43" s="89"/>
      <c r="N43" s="89"/>
      <c r="O43" s="89"/>
      <c r="P43" s="89"/>
      <c r="Q43" s="89"/>
      <c r="R43" s="89"/>
      <c r="S43" s="89"/>
      <c r="T43" s="89"/>
      <c r="U43" s="89"/>
      <c r="V43" s="89"/>
      <c r="W43" s="89"/>
      <c r="X43" s="89"/>
      <c r="Y43" s="89"/>
      <c r="Z43" s="89"/>
      <c r="AA43" s="89"/>
      <c r="AB43" s="89"/>
      <c r="AC43" s="89"/>
      <c r="AD43" s="89"/>
      <c r="AE43" s="89"/>
      <c r="AF43" s="89"/>
      <c r="AG43" s="89"/>
      <c r="AH43" s="89"/>
      <c r="AI43" s="89"/>
      <c r="AJ43" s="89"/>
      <c r="AK43" s="89"/>
      <c r="AL43" s="89"/>
      <c r="AM43" s="89"/>
      <c r="AN43" s="89"/>
      <c r="AO43" s="89"/>
      <c r="AP43" s="89"/>
      <c r="AQ43" s="89"/>
      <c r="AR43" s="89"/>
      <c r="AS43" s="89"/>
      <c r="AT43" s="89"/>
      <c r="AU43" s="89"/>
      <c r="AV43" s="89"/>
      <c r="AW43" s="89"/>
      <c r="AX43" s="89"/>
      <c r="AY43" s="89"/>
      <c r="AZ43" s="89"/>
      <c r="BA43" s="89"/>
      <c r="BB43" s="89"/>
      <c r="BC43" s="89"/>
      <c r="BD43" s="89"/>
      <c r="BE43" s="89"/>
      <c r="BF43" s="89"/>
      <c r="BG43" s="89"/>
      <c r="BH43" s="89"/>
      <c r="BI43" s="89"/>
      <c r="BJ43" s="89"/>
      <c r="BK43" s="89"/>
      <c r="BL43" s="89"/>
    </row>
    <row r="44" spans="1:64" ht="30" customHeight="1">
      <c r="B44" s="90" t="s">
        <v>40</v>
      </c>
      <c r="C44" s="91" t="s">
        <v>11</v>
      </c>
      <c r="D44" s="92">
        <v>1</v>
      </c>
      <c r="E44" s="93">
        <v>45937</v>
      </c>
      <c r="F44" s="93">
        <v>45953</v>
      </c>
      <c r="G44" s="13"/>
      <c r="H44" s="4"/>
      <c r="I44" s="89"/>
      <c r="J44" s="89"/>
      <c r="K44" s="89"/>
      <c r="L44" s="89"/>
      <c r="M44" s="89"/>
      <c r="N44" s="89"/>
      <c r="O44" s="89"/>
      <c r="P44" s="89"/>
      <c r="Q44" s="89"/>
      <c r="R44" s="89"/>
      <c r="S44" s="89"/>
      <c r="T44" s="89"/>
      <c r="U44" s="89"/>
      <c r="V44" s="89"/>
      <c r="W44" s="89"/>
      <c r="X44" s="89"/>
      <c r="Y44" s="89"/>
      <c r="Z44" s="89"/>
      <c r="AA44" s="89"/>
      <c r="AB44" s="89"/>
      <c r="AC44" s="89"/>
      <c r="AD44" s="89"/>
      <c r="AE44" s="89"/>
      <c r="AF44" s="89"/>
      <c r="AG44" s="89"/>
      <c r="AH44" s="89"/>
      <c r="AI44" s="89"/>
      <c r="AJ44" s="89"/>
      <c r="AK44" s="89"/>
      <c r="AL44" s="89"/>
      <c r="AM44" s="89"/>
      <c r="AN44" s="89"/>
      <c r="AO44" s="89"/>
      <c r="AP44" s="89"/>
      <c r="AQ44" s="89"/>
      <c r="AR44" s="89"/>
      <c r="AS44" s="89"/>
      <c r="AT44" s="89"/>
      <c r="AU44" s="89"/>
      <c r="AV44" s="89"/>
      <c r="AW44" s="89"/>
      <c r="AX44" s="89"/>
      <c r="AY44" s="89"/>
      <c r="AZ44" s="89"/>
      <c r="BA44" s="89"/>
      <c r="BB44" s="89"/>
      <c r="BC44" s="89"/>
      <c r="BD44" s="89"/>
      <c r="BE44" s="89"/>
      <c r="BF44" s="89"/>
      <c r="BG44" s="89"/>
      <c r="BH44" s="89"/>
      <c r="BI44" s="89"/>
      <c r="BJ44" s="89"/>
      <c r="BK44" s="89"/>
      <c r="BL44" s="89"/>
    </row>
    <row r="45" spans="1:64" ht="30" customHeight="1">
      <c r="B45" s="90" t="s">
        <v>41</v>
      </c>
      <c r="C45" s="91" t="s">
        <v>11</v>
      </c>
      <c r="D45" s="92">
        <v>0.1</v>
      </c>
      <c r="E45" s="93">
        <v>45937</v>
      </c>
      <c r="F45" s="93">
        <v>45981</v>
      </c>
      <c r="G45" s="13"/>
      <c r="H45" s="4">
        <f ca="1">IF(OR(ISBLANK(task_start),ISBLANK(task_end)),"",task_end-task_start+1)</f>
        <v>45</v>
      </c>
      <c r="I45" s="89"/>
      <c r="J45" s="89"/>
      <c r="K45" s="89"/>
      <c r="L45" s="89"/>
      <c r="M45" s="89"/>
      <c r="N45" s="89"/>
      <c r="O45" s="89"/>
      <c r="P45" s="89"/>
      <c r="Q45" s="89"/>
      <c r="R45" s="89"/>
      <c r="S45" s="89"/>
      <c r="T45" s="89"/>
      <c r="U45" s="89"/>
      <c r="V45" s="89"/>
      <c r="W45" s="89"/>
      <c r="X45" s="89"/>
      <c r="Y45" s="89"/>
      <c r="Z45" s="89"/>
      <c r="AA45" s="89"/>
      <c r="AB45" s="89"/>
      <c r="AC45" s="89"/>
      <c r="AD45" s="89"/>
      <c r="AE45" s="89"/>
      <c r="AF45" s="89"/>
      <c r="AG45" s="89"/>
      <c r="AH45" s="89"/>
      <c r="AI45" s="89"/>
      <c r="AJ45" s="89"/>
      <c r="AK45" s="89"/>
      <c r="AL45" s="89"/>
      <c r="AM45" s="89"/>
      <c r="AN45" s="89"/>
      <c r="AO45" s="89"/>
      <c r="AP45" s="89"/>
      <c r="AQ45" s="89"/>
      <c r="AR45" s="89"/>
      <c r="AS45" s="89"/>
      <c r="AT45" s="89"/>
      <c r="AU45" s="89"/>
      <c r="AV45" s="89"/>
      <c r="AW45" s="89"/>
      <c r="AX45" s="89"/>
      <c r="AY45" s="89"/>
      <c r="AZ45" s="89"/>
      <c r="BA45" s="89"/>
      <c r="BB45" s="89"/>
      <c r="BC45" s="89"/>
      <c r="BD45" s="89"/>
      <c r="BE45" s="89"/>
      <c r="BF45" s="89"/>
      <c r="BG45" s="89"/>
      <c r="BH45" s="89"/>
      <c r="BI45" s="89"/>
      <c r="BJ45" s="89"/>
      <c r="BK45" s="89"/>
      <c r="BL45" s="89"/>
    </row>
  </sheetData>
  <mergeCells count="18">
    <mergeCell ref="A5:A6"/>
    <mergeCell ref="B5:B6"/>
    <mergeCell ref="C5:C6"/>
    <mergeCell ref="D5:D6"/>
    <mergeCell ref="E5:E6"/>
    <mergeCell ref="F5:F6"/>
    <mergeCell ref="Q2:Z2"/>
    <mergeCell ref="Q1:Z1"/>
    <mergeCell ref="I1:O1"/>
    <mergeCell ref="I2:O2"/>
    <mergeCell ref="BF4:BL4"/>
    <mergeCell ref="I4:O4"/>
    <mergeCell ref="P4:V4"/>
    <mergeCell ref="W4:AC4"/>
    <mergeCell ref="AD4:AJ4"/>
    <mergeCell ref="AK4:AQ4"/>
    <mergeCell ref="AR4:AX4"/>
    <mergeCell ref="AY4:BE4"/>
  </mergeCells>
  <conditionalFormatting sqref="D7:D38">
    <cfRule type="dataBar" priority="51">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9:BL13">
    <cfRule type="expression" dxfId="26" priority="34">
      <formula>AND(task_start&lt;=I$5,ROUNDDOWN((task_end-task_start+1)*task_progress,0)+task_start-1&gt;=I$5)</formula>
    </cfRule>
    <cfRule type="expression" dxfId="25" priority="35" stopIfTrue="1">
      <formula>AND(task_end&gt;=I$5,task_start&lt;J$5)</formula>
    </cfRule>
  </conditionalFormatting>
  <conditionalFormatting sqref="I15:BL22">
    <cfRule type="expression" dxfId="24" priority="32">
      <formula>AND(task_start&lt;=I$5,ROUNDDOWN((task_end-task_start+1)*task_progress,0)+task_start-1&gt;=I$5)</formula>
    </cfRule>
    <cfRule type="expression" dxfId="23" priority="33" stopIfTrue="1">
      <formula>AND(task_end&gt;=I$5,task_start&lt;J$5)</formula>
    </cfRule>
  </conditionalFormatting>
  <conditionalFormatting sqref="I23:BL25">
    <cfRule type="expression" dxfId="22" priority="30">
      <formula>AND(task_start&lt;=I$5,ROUNDDOWN((task_end-task_start+1)*task_progress,0)+task_start-1&gt;=I$5)</formula>
    </cfRule>
    <cfRule type="expression" dxfId="21" priority="31" stopIfTrue="1">
      <formula>AND(task_end&gt;=I$5,task_start&lt;J$5)</formula>
    </cfRule>
  </conditionalFormatting>
  <conditionalFormatting sqref="I26:BL31">
    <cfRule type="expression" dxfId="20" priority="64">
      <formula>AND(task_start&lt;=I$5,ROUNDDOWN((task_end-task_start+1)*task_progress,0)+task_start-1&gt;=I$5)</formula>
    </cfRule>
    <cfRule type="expression" dxfId="19" priority="65" stopIfTrue="1">
      <formula>AND(task_end&gt;=I$5,task_start&lt;J$5)</formula>
    </cfRule>
  </conditionalFormatting>
  <conditionalFormatting sqref="I4:BL31">
    <cfRule type="expression" dxfId="18" priority="29">
      <formula>AND(TODAY()&gt;=I$5, TODAY()&lt;J$5)</formula>
    </cfRule>
  </conditionalFormatting>
  <conditionalFormatting sqref="I33:BL33">
    <cfRule type="expression" dxfId="17" priority="27">
      <formula>AND(task_start&lt;=I$5,ROUNDDOWN((task_end-task_start+1)*task_progress,0)+task_start-1&gt;=I$5)</formula>
    </cfRule>
    <cfRule type="expression" dxfId="16" priority="28" stopIfTrue="1">
      <formula>AND(task_end&gt;=I$5,task_start&lt;J$5)</formula>
    </cfRule>
  </conditionalFormatting>
  <conditionalFormatting sqref="I33:BL33">
    <cfRule type="expression" dxfId="15" priority="26">
      <formula>AND(TODAY()&gt;=I$5, TODAY()&lt;J$5)</formula>
    </cfRule>
  </conditionalFormatting>
  <conditionalFormatting sqref="I34:BL37">
    <cfRule type="expression" dxfId="14" priority="18">
      <formula>AND(task_start&lt;=I$5,ROUNDDOWN((task_end-task_start+1)*task_progress,0)+task_start-1&gt;=I$5)</formula>
    </cfRule>
    <cfRule type="expression" dxfId="13" priority="19" stopIfTrue="1">
      <formula>AND(task_end&gt;=I$5,task_start&lt;J$5)</formula>
    </cfRule>
  </conditionalFormatting>
  <conditionalFormatting sqref="I34:BL37">
    <cfRule type="expression" dxfId="12" priority="17">
      <formula>AND(TODAY()&gt;=I$5, TODAY()&lt;J$5)</formula>
    </cfRule>
  </conditionalFormatting>
  <conditionalFormatting sqref="I38:BL38">
    <cfRule type="expression" dxfId="11" priority="12">
      <formula>AND(task_start&lt;=I$5,ROUNDDOWN((task_end-task_start+1)*task_progress,0)+task_start-1&gt;=I$5)</formula>
    </cfRule>
    <cfRule type="expression" dxfId="10" priority="13" stopIfTrue="1">
      <formula>AND(task_end&gt;=I$5,task_start&lt;J$5)</formula>
    </cfRule>
  </conditionalFormatting>
  <conditionalFormatting sqref="I38:BL38">
    <cfRule type="expression" dxfId="9" priority="11">
      <formula>AND(TODAY()&gt;=I$5, TODAY()&lt;J$5)</formula>
    </cfRule>
  </conditionalFormatting>
  <conditionalFormatting sqref="D40:D45">
    <cfRule type="dataBar" priority="10">
      <dataBar>
        <cfvo type="num" val="0"/>
        <cfvo type="num" val="1"/>
        <color theme="0"/>
      </dataBar>
      <extLst>
        <ext xmlns:x14="http://schemas.microsoft.com/office/spreadsheetml/2009/9/main" uri="{B025F937-C7B1-47D3-B67F-A62EFF666E3E}">
          <x14:id>{A226F794-D75B-47C6-98B3-52276C621CF6}</x14:id>
        </ext>
      </extLst>
    </cfRule>
  </conditionalFormatting>
  <conditionalFormatting sqref="I40:BL40">
    <cfRule type="expression" dxfId="8" priority="8">
      <formula>AND(task_start&lt;=I$5,ROUNDDOWN((task_end-task_start+1)*task_progress,0)+task_start-1&gt;=I$5)</formula>
    </cfRule>
    <cfRule type="expression" dxfId="7" priority="9" stopIfTrue="1">
      <formula>AND(task_end&gt;=I$5,task_start&lt;J$5)</formula>
    </cfRule>
  </conditionalFormatting>
  <conditionalFormatting sqref="I40:BL40">
    <cfRule type="expression" dxfId="6" priority="7">
      <formula>AND(TODAY()&gt;=I$5, TODAY()&lt;J$5)</formula>
    </cfRule>
  </conditionalFormatting>
  <conditionalFormatting sqref="I41:BL44">
    <cfRule type="expression" dxfId="5" priority="5">
      <formula>AND(task_start&lt;=I$5,ROUNDDOWN((task_end-task_start+1)*task_progress,0)+task_start-1&gt;=I$5)</formula>
    </cfRule>
    <cfRule type="expression" dxfId="4" priority="6" stopIfTrue="1">
      <formula>AND(task_end&gt;=I$5,task_start&lt;J$5)</formula>
    </cfRule>
  </conditionalFormatting>
  <conditionalFormatting sqref="I41:BL44">
    <cfRule type="expression" dxfId="3" priority="4">
      <formula>AND(TODAY()&gt;=I$5, TODAY()&lt;J$5)</formula>
    </cfRule>
  </conditionalFormatting>
  <conditionalFormatting sqref="I45:BL45">
    <cfRule type="expression" dxfId="2" priority="2">
      <formula>AND(task_start&lt;=I$5,ROUNDDOWN((task_end-task_start+1)*task_progress,0)+task_start-1&gt;=I$5)</formula>
    </cfRule>
    <cfRule type="expression" dxfId="1" priority="3" stopIfTrue="1">
      <formula>AND(task_end&gt;=I$5,task_start&lt;J$5)</formula>
    </cfRule>
  </conditionalFormatting>
  <conditionalFormatting sqref="I45:BL45">
    <cfRule type="expression" dxfId="0" priority="1">
      <formula>AND(TODAY()&gt;=I$5, TODAY()&lt;J$5)</formula>
    </cfRule>
  </conditionalFormatting>
  <dataValidations count="10">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D7:D38</xm:sqref>
        </x14:conditionalFormatting>
        <x14:conditionalFormatting xmlns:xm="http://schemas.microsoft.com/office/excel/2006/main">
          <x14:cfRule type="dataBar" id="{A226F794-D75B-47C6-98B3-52276C621CF6}">
            <x14:dataBar minLength="0" maxLength="100" gradient="0">
              <x14:cfvo type="num">
                <xm:f>0</xm:f>
              </x14:cfvo>
              <x14:cfvo type="num">
                <xm:f>1</xm:f>
              </x14:cfvo>
              <x14:negativeFillColor rgb="FFFF0000"/>
              <x14:axisColor rgb="FF000000"/>
            </x14:dataBar>
          </x14:cfRule>
          <xm:sqref>D40:D45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15"/>
  <cols>
    <col min="1" max="1" width="87" style="5" customWidth="1"/>
    <col min="2" max="16384" width="9" style="1"/>
  </cols>
  <sheetData>
    <row r="1" spans="1:2" ht="46.5" customHeight="1"/>
    <row r="2" spans="1:2" s="7" customFormat="1" ht="15.6">
      <c r="A2" s="81" t="s">
        <v>46</v>
      </c>
      <c r="B2" s="6"/>
    </row>
    <row r="3" spans="1:2" s="9" customFormat="1" ht="27" customHeight="1">
      <c r="A3" s="82"/>
      <c r="B3" s="10"/>
    </row>
    <row r="4" spans="1:2" s="8" customFormat="1" ht="30">
      <c r="A4" s="83" t="s">
        <v>47</v>
      </c>
    </row>
    <row r="5" spans="1:2" ht="74.25" customHeight="1">
      <c r="A5" s="84" t="s">
        <v>48</v>
      </c>
    </row>
    <row r="6" spans="1:2" ht="26.25" customHeight="1">
      <c r="A6" s="83" t="s">
        <v>49</v>
      </c>
    </row>
    <row r="7" spans="1:2" s="5" customFormat="1" ht="205.15" customHeight="1">
      <c r="A7" s="85" t="s">
        <v>50</v>
      </c>
    </row>
    <row r="8" spans="1:2" s="8" customFormat="1" ht="30">
      <c r="A8" s="83" t="s">
        <v>51</v>
      </c>
    </row>
    <row r="9" spans="1:2" ht="41.45">
      <c r="A9" s="84" t="s">
        <v>52</v>
      </c>
    </row>
    <row r="10" spans="1:2" s="5" customFormat="1" ht="28.15" customHeight="1">
      <c r="A10" s="86" t="s">
        <v>53</v>
      </c>
    </row>
    <row r="11" spans="1:2" s="8" customFormat="1" ht="30">
      <c r="A11" s="83" t="s">
        <v>54</v>
      </c>
    </row>
    <row r="12" spans="1:2" ht="27.6">
      <c r="A12" s="84" t="s">
        <v>55</v>
      </c>
    </row>
    <row r="13" spans="1:2" s="5" customFormat="1" ht="28.15" customHeight="1">
      <c r="A13" s="86" t="s">
        <v>56</v>
      </c>
    </row>
    <row r="14" spans="1:2" s="8" customFormat="1" ht="30">
      <c r="A14" s="83" t="s">
        <v>57</v>
      </c>
    </row>
    <row r="15" spans="1:2" ht="75" customHeight="1">
      <c r="A15" s="84" t="s">
        <v>58</v>
      </c>
    </row>
    <row r="16" spans="1:2" ht="69">
      <c r="A16" s="84" t="s">
        <v>59</v>
      </c>
    </row>
    <row r="17" spans="1:1">
      <c r="A17" s="87"/>
    </row>
    <row r="18" spans="1:1">
      <c r="A18" s="87"/>
    </row>
    <row r="19" spans="1:1">
      <c r="A19" s="87"/>
    </row>
    <row r="20" spans="1:1">
      <c r="A20" s="87"/>
    </row>
    <row r="21" spans="1:1">
      <c r="A21" s="87"/>
    </row>
    <row r="22" spans="1:1">
      <c r="A22" s="87"/>
    </row>
    <row r="23" spans="1:1">
      <c r="A23" s="87"/>
    </row>
    <row r="24" spans="1:1">
      <c r="A24" s="87"/>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7DFB23BD9BB14DBAA00A09D22FB835" ma:contentTypeVersion="8" ma:contentTypeDescription="Create a new document." ma:contentTypeScope="" ma:versionID="af90a80d488717b9ef607d954ef2a0cc">
  <xsd:schema xmlns:xsd="http://www.w3.org/2001/XMLSchema" xmlns:xs="http://www.w3.org/2001/XMLSchema" xmlns:p="http://schemas.microsoft.com/office/2006/metadata/properties" xmlns:ns2="eb5155ac-509b-4df1-8c7d-3e0eccb07f7b" targetNamespace="http://schemas.microsoft.com/office/2006/metadata/properties" ma:root="true" ma:fieldsID="739172f4ee1cecc2236a9a713f5b3cc3" ns2:_="">
    <xsd:import namespace="eb5155ac-509b-4df1-8c7d-3e0eccb07f7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5155ac-509b-4df1-8c7d-3e0eccb07f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245281-08F3-4104-84BD-39F3D8CFB195}"/>
</file>

<file path=customXml/itemProps2.xml><?xml version="1.0" encoding="utf-8"?>
<ds:datastoreItem xmlns:ds="http://schemas.openxmlformats.org/officeDocument/2006/customXml" ds:itemID="{A82239A0-E68C-493F-BEE6-C77FEA397FD6}"/>
</file>

<file path=customXml/itemProps3.xml><?xml version="1.0" encoding="utf-8"?>
<ds:datastoreItem xmlns:ds="http://schemas.openxmlformats.org/officeDocument/2006/customXml" ds:itemID="{D961CE70-9784-4BCF-8417-7BF245DCA118}"/>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Demetrius Schank</cp:lastModifiedBy>
  <cp:revision/>
  <dcterms:created xsi:type="dcterms:W3CDTF">2025-03-27T17:03:27Z</dcterms:created>
  <dcterms:modified xsi:type="dcterms:W3CDTF">2026-04-29T03:07:57Z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0x010100797DFB23BD9BB14DBAA00A09D22FB835</vt:lpwstr>
  </property>
  <property fmtid="{D5CDD505-2E9C-101B-9397-08002B2CF9AE}" pid="3" name="MediaServiceImageTags">
    <vt:lpwstr/>
  </property>
</Properties>
</file>