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villanova.sharepoint.com/teams/ECECapstoneCohort2026-CellImaging/Shared Documents/Cell Imaging/Fall 2025/"/>
    </mc:Choice>
  </mc:AlternateContent>
  <xr:revisionPtr revIDLastSave="642" documentId="8_{59F6DB82-81DE-49EF-9B76-E61785683830}" xr6:coauthVersionLast="47" xr6:coauthVersionMax="47" xr10:uidLastSave="{73D19C03-8BCD-497D-85E2-93425794782C}"/>
  <bookViews>
    <workbookView xWindow="-108" yWindow="-108" windowWidth="23256" windowHeight="12456" firstSheet="1" activeTab="1" xr2:uid="{860AA1B2-2654-43D2-8A14-D96520965DC4}"/>
  </bookViews>
  <sheets>
    <sheet name="DURING DESIGNATED WORK TIME" sheetId="1" r:id="rId1"/>
    <sheet name="OUTSIDE DESIGNATED WORK TI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A17" i="1"/>
  <c r="A16" i="1"/>
  <c r="A20" i="2"/>
  <c r="A17" i="2"/>
  <c r="E14" i="1"/>
  <c r="A15" i="1"/>
  <c r="A14" i="1"/>
  <c r="A16" i="2"/>
  <c r="A14" i="2"/>
  <c r="E14" i="2"/>
  <c r="A15" i="2"/>
  <c r="A21" i="2"/>
  <c r="A22" i="2"/>
  <c r="A23" i="2"/>
  <c r="A24" i="2"/>
  <c r="A25" i="2"/>
  <c r="A26" i="2"/>
  <c r="A27" i="2"/>
  <c r="A28" i="2"/>
  <c r="A29" i="2"/>
  <c r="A13" i="1"/>
  <c r="A12" i="1"/>
  <c r="A11" i="1"/>
  <c r="A10" i="2"/>
  <c r="A7" i="2"/>
  <c r="A10" i="1"/>
  <c r="A9" i="1"/>
  <c r="E8" i="1"/>
  <c r="A8" i="2"/>
  <c r="E7" i="1"/>
  <c r="A8" i="1"/>
  <c r="A6" i="1"/>
  <c r="A7" i="1"/>
  <c r="A5" i="1"/>
  <c r="E4" i="1"/>
  <c r="E19" i="1"/>
  <c r="E22" i="1"/>
  <c r="E5" i="1"/>
  <c r="E20" i="1"/>
  <c r="E23" i="1"/>
  <c r="E6" i="1"/>
  <c r="E24" i="1"/>
  <c r="E25" i="1"/>
  <c r="E26" i="1"/>
  <c r="E27" i="1"/>
  <c r="E28" i="1"/>
  <c r="E29" i="1"/>
  <c r="E9" i="1"/>
  <c r="E30" i="1"/>
  <c r="E31" i="1"/>
  <c r="E10" i="1"/>
  <c r="E32" i="1"/>
  <c r="E33" i="1"/>
  <c r="E11" i="1"/>
  <c r="E34" i="1"/>
  <c r="E35" i="1"/>
  <c r="E12" i="1"/>
  <c r="E36" i="1"/>
  <c r="E37" i="1"/>
  <c r="E13" i="1"/>
  <c r="E38" i="1"/>
  <c r="E39" i="1"/>
  <c r="E40" i="1"/>
  <c r="E41" i="1"/>
  <c r="E15" i="1"/>
  <c r="E42" i="1"/>
  <c r="E43" i="1"/>
  <c r="E16" i="1"/>
  <c r="E44" i="1"/>
  <c r="E45" i="1"/>
  <c r="E17" i="1"/>
  <c r="E46" i="1"/>
  <c r="E47" i="1"/>
  <c r="E48" i="1"/>
  <c r="E49" i="1"/>
  <c r="E50" i="1"/>
  <c r="E51" i="1"/>
  <c r="E52" i="1"/>
  <c r="E53" i="1"/>
  <c r="E54" i="1"/>
  <c r="E55" i="1"/>
  <c r="E56" i="1"/>
  <c r="E57" i="1"/>
  <c r="E58" i="1"/>
  <c r="E59" i="1"/>
  <c r="E60" i="1"/>
  <c r="E61" i="1"/>
  <c r="E62" i="1"/>
  <c r="E63" i="1"/>
  <c r="E64" i="1"/>
  <c r="E65" i="1"/>
  <c r="E66" i="1"/>
  <c r="E67" i="1"/>
  <c r="E68" i="1"/>
  <c r="E69" i="1"/>
  <c r="A6" i="2"/>
  <c r="A59" i="2"/>
  <c r="A60" i="2"/>
  <c r="A61" i="2"/>
  <c r="A62" i="2"/>
  <c r="A63" i="2"/>
  <c r="A64" i="2"/>
  <c r="A65" i="2"/>
  <c r="A66" i="2"/>
  <c r="A44" i="2"/>
  <c r="A45" i="2"/>
  <c r="A46" i="2"/>
  <c r="A47" i="2"/>
  <c r="A48" i="2"/>
  <c r="A49" i="2"/>
  <c r="A50" i="2"/>
  <c r="A51" i="2"/>
  <c r="A52" i="2"/>
  <c r="A53" i="2"/>
  <c r="A54" i="2"/>
  <c r="A55" i="2"/>
  <c r="A56" i="2"/>
  <c r="A57" i="2"/>
  <c r="A58" i="2"/>
  <c r="A30" i="2"/>
  <c r="A31" i="2"/>
  <c r="A32" i="2"/>
  <c r="A33" i="2"/>
  <c r="A34" i="2"/>
  <c r="A35" i="2"/>
  <c r="A36" i="2"/>
  <c r="A37" i="2"/>
  <c r="A38" i="2"/>
  <c r="A39" i="2"/>
  <c r="A40" i="2"/>
  <c r="A41" i="2"/>
  <c r="A42" i="2"/>
  <c r="A43" i="2"/>
  <c r="A3" i="2"/>
  <c r="E41" i="2"/>
  <c r="E42" i="2"/>
  <c r="E43" i="2"/>
  <c r="E44" i="2"/>
  <c r="E45" i="2"/>
  <c r="E46" i="2"/>
  <c r="E47" i="2"/>
  <c r="E48" i="2"/>
  <c r="E49" i="2"/>
  <c r="E50" i="2"/>
  <c r="E51" i="2"/>
  <c r="E52" i="2"/>
  <c r="E53" i="2"/>
  <c r="E54" i="2"/>
  <c r="E55" i="2"/>
  <c r="E56" i="2"/>
  <c r="E57" i="2"/>
  <c r="E58" i="2"/>
  <c r="E59" i="2"/>
  <c r="E60" i="2"/>
  <c r="E61" i="2"/>
  <c r="E62" i="2"/>
  <c r="E63" i="2"/>
  <c r="E64" i="2"/>
  <c r="E65" i="2"/>
  <c r="E66" i="2"/>
  <c r="E4" i="2"/>
  <c r="E5" i="2"/>
  <c r="E6" i="2"/>
  <c r="E7" i="2"/>
  <c r="E8" i="2"/>
  <c r="E9" i="2"/>
  <c r="E10" i="2"/>
  <c r="E11" i="2"/>
  <c r="E12" i="2"/>
  <c r="E13" i="2"/>
  <c r="E15" i="2"/>
  <c r="E16" i="2"/>
  <c r="E17" i="2"/>
  <c r="E18" i="2"/>
  <c r="E19" i="2"/>
  <c r="L3" i="2" s="1"/>
  <c r="E20" i="2"/>
  <c r="E21" i="2"/>
  <c r="E22" i="2"/>
  <c r="E23" i="2"/>
  <c r="E24" i="2"/>
  <c r="E25" i="2"/>
  <c r="E26" i="2"/>
  <c r="E27" i="2"/>
  <c r="E28" i="2"/>
  <c r="E29" i="2"/>
  <c r="E30" i="2"/>
  <c r="E31" i="2"/>
  <c r="E32" i="2"/>
  <c r="E33" i="2"/>
  <c r="E34" i="2"/>
  <c r="E35" i="2"/>
  <c r="E36" i="2"/>
  <c r="E37" i="2"/>
  <c r="E38" i="2"/>
  <c r="E39" i="2"/>
  <c r="E40" i="2"/>
  <c r="E18" i="1"/>
  <c r="E3" i="1"/>
  <c r="A3" i="1"/>
  <c r="E3" i="2"/>
</calcChain>
</file>

<file path=xl/sharedStrings.xml><?xml version="1.0" encoding="utf-8"?>
<sst xmlns="http://schemas.openxmlformats.org/spreadsheetml/2006/main" count="100" uniqueCount="59">
  <si>
    <t>DURING DESIGNATED WORK TIME</t>
  </si>
  <si>
    <t>Date</t>
  </si>
  <si>
    <t>Name</t>
  </si>
  <si>
    <t>Time Started</t>
  </si>
  <si>
    <t>Time Ended</t>
  </si>
  <si>
    <t>Total Time Spent (H:MM)</t>
  </si>
  <si>
    <t>Task Description</t>
  </si>
  <si>
    <t>Completion</t>
  </si>
  <si>
    <t>Demetrius Schank</t>
  </si>
  <si>
    <t xml:space="preserve">Finished seeting up Temp Timesheet functionality, continued working on Team contract specifics (reworded mandatory, nonmandatory, and communcation expectations) . Finished temporary team contract draft and submitted. </t>
  </si>
  <si>
    <t>N/A</t>
  </si>
  <si>
    <t>Demetrius Total Until 10/25</t>
  </si>
  <si>
    <t>Sent team contract and first email  to Dr. Wynne detailing meeting time requests, semester goals, project document sharing requests, etc. Started organizing TPS in our documentation. Updated TSP to mach information on our timesheets. Started working on the 'Barriers to this project' section of the TPS.</t>
  </si>
  <si>
    <t>100% (email); 55% TPS</t>
  </si>
  <si>
    <t xml:space="preserve"> </t>
  </si>
  <si>
    <t xml:space="preserve">advisor meeting 1:00-1:40; resubmitted finalized Team Contract, reached out to last years group for access to their files since we have not yet gotten that. Finished TPS. </t>
  </si>
  <si>
    <t xml:space="preserve">Worked on contacting previous year's Cell imaging group on getting their files. Messaged graduate studnet J Fu to see if he had access to files and the video source they had. Laptop had stopped working at this point, so progress was slow for me on this day. </t>
  </si>
  <si>
    <t xml:space="preserve">Meeting with Dr. Wynne, set up a guideline for 4 week plan described in advisor meeting notes. 
Emailed ALL Cell imaging 2025 teams after being given their alternate email addresses, incase users are not active on their villanova email account. This was regarding our request to compile the previous years project and Nick F's project so Dr. Wynne and J Fu has access to personal backup. </t>
  </si>
  <si>
    <t xml:space="preserve">Looked for additional video content publications regarding red blood cells through capillaries. Nothing concrete found, but looking through articles and their references for video sources. Signed up for Dr. K meeting for midterm prep.  </t>
  </si>
  <si>
    <t xml:space="preserve">Reviewed and tested code written by jonathan, suggested some possible improvements to make. Searched more for supplemental video metadata/began formatting the already existing data. </t>
  </si>
  <si>
    <t xml:space="preserve">Meeting with Dr. Wynne, demonstrating code and going over which specific modifications. This includes going over the frame-rate/time problem, reported vs. playback resolution issue, and pixel to irl measurement issue. Worked a little bit more on gathering necessary metadata for our project for the "c3lc50427a.wmv" video. Had midterm demo meeting with Dr. Klein. Discussed plans to finish TPS 5, instituting a flexible deadline of 8pm on the 25th to finish tps descriptions. Briefly discussed goals for next week during the Dr. Klein meetings, which, broadly, is to get everyone up to speed on how our code works for our midterm presentation in two weeks. </t>
  </si>
  <si>
    <t xml:space="preserve">Reviewed W5 (A6) TPS report, going over this week's goals and upcoming problems regarding the Midterm Demo. Began working on personalized annotations for the code in document found in 'Midterm Notes and Prep' Folder in our OneDrive. In a file called 'Demetrius Midterm Demo Code Notes.docx'.  </t>
  </si>
  <si>
    <r>
      <rPr>
        <sz val="11"/>
        <color rgb="FF000000"/>
        <rFont val="Aptos Display"/>
      </rPr>
      <t xml:space="preserve">Began looking for a viable 'engineering standard' for this project, starting by looking at our proposal from last semester to find what was used as our 'standard'. Although that standard worked for the purposes of the project at that point, our project has been greatly tailored since then. We now need to find an engineering standard for cell imaging </t>
    </r>
    <r>
      <rPr>
        <b/>
        <i/>
        <sz val="11"/>
        <color rgb="FF000000"/>
        <rFont val="Aptos Display"/>
      </rPr>
      <t>analysis</t>
    </r>
    <r>
      <rPr>
        <sz val="11"/>
        <color rgb="FF000000"/>
        <rFont val="Aptos Display"/>
      </rPr>
      <t xml:space="preserve">, not cell imaging standards themselves. Based on research from this year, this will be difficult, as there very well might not be an 'engineering standard' for cell imaging analysis. We may need to find an engineering standard for image process analysis of microscopic objects in general. At 1pm, had weekly meeting with Dr. Wynne. At ~1:30, began work on my section of TPS report. </t>
    </r>
  </si>
  <si>
    <t>20% - standard
40% TPS</t>
  </si>
  <si>
    <t>Completed Notes on Code, Midterm Prep</t>
  </si>
  <si>
    <t>100%, 25%</t>
  </si>
  <si>
    <t>Midterm Prep</t>
  </si>
  <si>
    <t>Worked on A17 - Testing Plan</t>
  </si>
  <si>
    <t>Meeting with Dr. Wynne</t>
  </si>
  <si>
    <t>John Ahn</t>
  </si>
  <si>
    <t>Completed team contract (draft) (same as groupmates^)</t>
  </si>
  <si>
    <t xml:space="preserve">Updated Gantt Chart Completed Outlook Calendar 
Updated OneNote </t>
  </si>
  <si>
    <t>took notes during advisor meeting, completed TPS</t>
  </si>
  <si>
    <t>Jonathan Kim</t>
  </si>
  <si>
    <t>Finished working on Team Contract draft. Emailed to Dr. Wynne about signing the Team Contract. Worked on Solution Summary</t>
  </si>
  <si>
    <t>Started research into AI. Useful things to investigate include YOLO (a type of convolutional neural network or CNN) and OpenCV. Related terms: computer vision and template matching. LLMs like ChatGPT are not recommended for this type of task.</t>
  </si>
  <si>
    <t>advisor meeting 1:00-1:40, looked over previous group's files, working on TPS</t>
  </si>
  <si>
    <t>OUTSIDE DESIGNATED WORK TIME</t>
  </si>
  <si>
    <t>Starting setting up temp timesheet tables, continued working on Team contract.</t>
  </si>
  <si>
    <t>Outside Total Until 10/25</t>
  </si>
  <si>
    <t xml:space="preserve">Worked more on team contract. </t>
  </si>
  <si>
    <t>Worked more on team contract, sent message in teams.</t>
  </si>
  <si>
    <t xml:space="preserve">demetrius extra </t>
  </si>
  <si>
    <t>need to add 1:15 due to one time sheet not reported. Estimating 4 hours for extra add on project at the end (conservative estimate)</t>
  </si>
  <si>
    <t xml:space="preserve">Worked more on team contract. Created a new Gantt Chart document to be updated. Note: no official response from team since 8/28, John sent CATME reminder in iMessage 8/29 but not on Teams. </t>
  </si>
  <si>
    <t>Finished TPS report and submitted</t>
  </si>
  <si>
    <t xml:space="preserve">Looked for more video material of red blood cells. </t>
  </si>
  <si>
    <t>Finsihed TPS #4</t>
  </si>
  <si>
    <t xml:space="preserve">Searched for more video metadata and experiement metadata for the primary video source we are using (c3lc50427a.wmv). </t>
  </si>
  <si>
    <t xml:space="preserve">continued formatting metadata for our records. For video (c3lc50427a.wmv). </t>
  </si>
  <si>
    <t xml:space="preserve">Worked on my portion of the TSP report. Finished fathering metadata for the video. Email advisor wynne to schedule midterm demo. </t>
  </si>
  <si>
    <t xml:space="preserve">Finished TPS report. Specified more of our next week goals, future goals, and accomplishments to include details of when and where deliverables will finished. Touched up all categories of the progress report besides member timesheets and advisor notes. </t>
  </si>
  <si>
    <t>Emailed Dr. Klein regarding Midterm Demo scheduling conflict.</t>
  </si>
  <si>
    <t xml:space="preserve">Finished TPS report for W6, A5. </t>
  </si>
  <si>
    <t xml:space="preserve">Worked on notes regarding coding. </t>
  </si>
  <si>
    <t>Worked on Midterm Prep</t>
  </si>
  <si>
    <t>Midterm Prep, Midterm Demo</t>
  </si>
  <si>
    <t xml:space="preserve">Finished my portion of TPS 6 for W7. </t>
  </si>
  <si>
    <t xml:space="preserve">Finsihed TPS #7 W9.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</si>
</sst>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d\-mmm\-yy;@"/>
    <numFmt numFmtId="165" formatCode="[$-409]h:mm\ AM/PM;@"/>
    <numFmt numFmtId="166" formatCode="h:mm;@"/>
    <numFmt numFmtId="167" formatCode="m/d/yy;@"/>
  </numFmts>
  <fonts count="8">
    <font>
      <sz val="11"/>
      <color theme="1"/>
      <name val="Aptos Narrow"/>
      <family val="2"/>
      <scheme val="minor"/>
    </font>
    <font>
      <sz val="12"/>
      <color theme="1"/>
      <name val="Aptos"/>
      <family val="2"/>
    </font>
    <font>
      <b/>
      <u/>
      <sz val="12"/>
      <color rgb="FF000000"/>
      <name val="Aptos"/>
      <family val="2"/>
    </font>
    <font>
      <b/>
      <sz val="12"/>
      <color rgb="FF000000"/>
      <name val="Aptos"/>
      <family val="2"/>
    </font>
    <font>
      <sz val="12"/>
      <color theme="1"/>
      <name val="Aptos Display"/>
      <scheme val="major"/>
    </font>
    <font>
      <sz val="11"/>
      <color theme="1"/>
      <name val="Aptos Display"/>
      <scheme val="major"/>
    </font>
    <font>
      <sz val="11"/>
      <color rgb="FF000000"/>
      <name val="Aptos Display"/>
    </font>
    <font>
      <b/>
      <i/>
      <sz val="11"/>
      <color rgb="FF000000"/>
      <name val="Aptos Display"/>
    </font>
  </fonts>
  <fills count="5">
    <fill>
      <patternFill patternType="none"/>
    </fill>
    <fill>
      <patternFill patternType="gray125"/>
    </fill>
    <fill>
      <patternFill patternType="solid">
        <fgColor rgb="FFC1E4F5"/>
        <bgColor indexed="64"/>
      </patternFill>
    </fill>
    <fill>
      <patternFill patternType="solid">
        <fgColor rgb="FFD9D9D9"/>
        <bgColor indexed="64"/>
      </patternFill>
    </fill>
    <fill>
      <patternFill patternType="solid">
        <fgColor rgb="FFF2CEED"/>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62">
    <xf numFmtId="0" fontId="0" fillId="0" borderId="0" xfId="0"/>
    <xf numFmtId="0" fontId="3"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5" fontId="1" fillId="0" borderId="1" xfId="0" applyNumberFormat="1" applyFont="1" applyBorder="1" applyAlignment="1">
      <alignment horizontal="center" vertical="center" wrapText="1"/>
    </xf>
    <xf numFmtId="166" fontId="1" fillId="0" borderId="1" xfId="0" applyNumberFormat="1" applyFont="1" applyBorder="1" applyAlignment="1">
      <alignment horizontal="center" vertical="center" wrapText="1"/>
    </xf>
    <xf numFmtId="0" fontId="0" fillId="0" borderId="1" xfId="0" applyBorder="1"/>
    <xf numFmtId="0" fontId="0" fillId="0" borderId="5" xfId="0" applyBorder="1"/>
    <xf numFmtId="164" fontId="1" fillId="0" borderId="2" xfId="0" applyNumberFormat="1" applyFont="1" applyBorder="1" applyAlignment="1">
      <alignment vertical="center" wrapText="1"/>
    </xf>
    <xf numFmtId="0" fontId="0" fillId="0" borderId="1" xfId="0" applyBorder="1" applyAlignment="1">
      <alignment horizontal="center" vertical="center"/>
    </xf>
    <xf numFmtId="0" fontId="1" fillId="0" borderId="8" xfId="0" applyFont="1" applyBorder="1" applyAlignment="1">
      <alignment horizontal="center" vertical="center" wrapText="1"/>
    </xf>
    <xf numFmtId="0" fontId="1" fillId="0" borderId="8" xfId="0" applyFont="1" applyBorder="1" applyAlignment="1">
      <alignment vertical="center" wrapText="1"/>
    </xf>
    <xf numFmtId="0" fontId="3" fillId="3" borderId="2" xfId="0" applyFont="1" applyFill="1" applyBorder="1" applyAlignment="1">
      <alignment horizontal="center" vertical="center" wrapText="1"/>
    </xf>
    <xf numFmtId="0" fontId="4"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166" fontId="4" fillId="0" borderId="1"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5" fillId="0" borderId="5" xfId="0" applyFont="1" applyBorder="1" applyAlignment="1">
      <alignment wrapText="1"/>
    </xf>
    <xf numFmtId="20" fontId="4" fillId="0" borderId="1" xfId="0" applyNumberFormat="1" applyFont="1" applyBorder="1" applyAlignment="1">
      <alignment horizontal="center" vertical="center" wrapText="1"/>
    </xf>
    <xf numFmtId="0" fontId="5" fillId="0" borderId="11" xfId="0" applyFont="1" applyBorder="1" applyAlignment="1">
      <alignment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8" xfId="0" applyFont="1" applyBorder="1" applyAlignment="1">
      <alignment wrapText="1"/>
    </xf>
    <xf numFmtId="0" fontId="4" fillId="0" borderId="8" xfId="0" applyFont="1" applyBorder="1" applyAlignment="1">
      <alignment wrapText="1"/>
    </xf>
    <xf numFmtId="0" fontId="5" fillId="0" borderId="2" xfId="0" applyFont="1" applyBorder="1" applyAlignment="1">
      <alignment horizontal="center" vertical="center"/>
    </xf>
    <xf numFmtId="0" fontId="5" fillId="0" borderId="9" xfId="0" applyFont="1" applyBorder="1" applyAlignment="1">
      <alignment wrapText="1"/>
    </xf>
    <xf numFmtId="0" fontId="5" fillId="0" borderId="5" xfId="0" applyFont="1" applyBorder="1" applyAlignment="1">
      <alignment horizontal="center" vertical="center"/>
    </xf>
    <xf numFmtId="0" fontId="5" fillId="0" borderId="10" xfId="0" applyFont="1" applyBorder="1" applyAlignment="1">
      <alignment wrapText="1"/>
    </xf>
    <xf numFmtId="0" fontId="5" fillId="0" borderId="10" xfId="0" applyFont="1" applyBorder="1"/>
    <xf numFmtId="0" fontId="5" fillId="0" borderId="0" xfId="0" applyFont="1"/>
    <xf numFmtId="167" fontId="5" fillId="0" borderId="5" xfId="0" applyNumberFormat="1" applyFont="1" applyBorder="1"/>
    <xf numFmtId="167" fontId="5" fillId="0" borderId="0" xfId="0" applyNumberFormat="1" applyFont="1"/>
    <xf numFmtId="164" fontId="1" fillId="0" borderId="2" xfId="0" applyNumberFormat="1" applyFont="1" applyBorder="1" applyAlignment="1">
      <alignment horizontal="center" vertical="center" wrapText="1"/>
    </xf>
    <xf numFmtId="9" fontId="0" fillId="0" borderId="5" xfId="0" applyNumberFormat="1" applyBorder="1"/>
    <xf numFmtId="9" fontId="5" fillId="0" borderId="5" xfId="0" applyNumberFormat="1" applyFont="1" applyBorder="1" applyAlignment="1">
      <alignment wrapText="1"/>
    </xf>
    <xf numFmtId="165" fontId="0" fillId="0" borderId="1" xfId="0" applyNumberFormat="1" applyBorder="1" applyAlignment="1">
      <alignment horizontal="center"/>
    </xf>
    <xf numFmtId="165" fontId="0" fillId="0" borderId="1" xfId="0" applyNumberFormat="1" applyBorder="1"/>
    <xf numFmtId="0" fontId="0" fillId="0" borderId="8" xfId="0" applyBorder="1" applyAlignment="1">
      <alignment wrapText="1"/>
    </xf>
    <xf numFmtId="0" fontId="0" fillId="0" borderId="4" xfId="0" applyBorder="1" applyAlignment="1">
      <alignment horizontal="center" vertical="center"/>
    </xf>
    <xf numFmtId="164" fontId="5" fillId="0" borderId="2" xfId="0" applyNumberFormat="1" applyFont="1" applyBorder="1" applyAlignment="1">
      <alignment horizontal="center" vertical="center"/>
    </xf>
    <xf numFmtId="164" fontId="5" fillId="0" borderId="3" xfId="0" applyNumberFormat="1" applyFont="1" applyBorder="1" applyAlignment="1">
      <alignment horizontal="center" vertical="center"/>
    </xf>
    <xf numFmtId="164" fontId="5" fillId="0" borderId="4" xfId="0" applyNumberFormat="1" applyFont="1" applyBorder="1" applyAlignment="1">
      <alignment horizontal="center" vertical="center"/>
    </xf>
    <xf numFmtId="164" fontId="4" fillId="0" borderId="2"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4" xfId="0" applyNumberFormat="1" applyFont="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164" fontId="1" fillId="0" borderId="3" xfId="0" applyNumberFormat="1" applyFont="1" applyBorder="1" applyAlignment="1">
      <alignment horizontal="center" vertical="center" wrapText="1"/>
    </xf>
    <xf numFmtId="0" fontId="0" fillId="0" borderId="3" xfId="0"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166" fontId="0" fillId="0" borderId="0" xfId="0" applyNumberFormat="1"/>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6" fillId="0" borderId="8" xfId="0" applyFont="1" applyBorder="1" applyAlignment="1">
      <alignment wrapText="1"/>
    </xf>
    <xf numFmtId="9" fontId="5" fillId="0" borderId="12" xfId="0" applyNumberFormat="1" applyFont="1" applyBorder="1" applyAlignment="1">
      <alignment wrapText="1"/>
    </xf>
    <xf numFmtId="0" fontId="0" fillId="0" borderId="0" xfId="0" applyAlignment="1">
      <alignment horizontal="center" wrapText="1"/>
    </xf>
  </cellXfs>
  <cellStyles count="1">
    <cellStyle name="Normal" xfId="0" builtinId="0"/>
  </cellStyles>
  <dxfs count="10">
    <dxf>
      <font>
        <b val="0"/>
        <i val="0"/>
        <strike val="0"/>
        <condense val="0"/>
        <extend val="0"/>
        <outline val="0"/>
        <shadow val="0"/>
        <u val="none"/>
        <vertAlign val="baseline"/>
        <sz val="11"/>
        <color theme="1"/>
        <name val="Aptos Display"/>
        <scheme val="maj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Display"/>
        <scheme val="major"/>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Aptos Display"/>
        <scheme val="major"/>
      </font>
      <numFmt numFmtId="166" formatCode="h: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Display"/>
        <scheme val="major"/>
      </font>
      <numFmt numFmtId="165" formatCode="[$-409]h:mm\ AM/P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Display"/>
        <scheme val="major"/>
      </font>
      <numFmt numFmtId="165" formatCode="[$-409]h:mm\ AM/P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Display"/>
        <scheme val="maj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Display"/>
        <scheme val="major"/>
      </font>
      <numFmt numFmtId="167" formatCode="m/d/yy;@"/>
      <border diagonalUp="0" diagonalDown="0">
        <left style="thin">
          <color rgb="FF000000"/>
        </left>
        <right style="thin">
          <color rgb="FF000000"/>
        </right>
        <top style="thin">
          <color rgb="FF000000"/>
        </top>
        <bottom style="thin">
          <color rgb="FF000000"/>
        </bottom>
        <vertical/>
        <horizontal/>
      </border>
    </dxf>
    <dxf>
      <border outline="0">
        <top style="thin">
          <color indexed="64"/>
        </top>
      </border>
    </dxf>
    <dxf>
      <font>
        <b val="0"/>
        <i val="0"/>
        <strike val="0"/>
        <condense val="0"/>
        <extend val="0"/>
        <outline val="0"/>
        <shadow val="0"/>
        <u val="none"/>
        <vertAlign val="baseline"/>
        <sz val="12"/>
        <color theme="1"/>
        <name val="Aptos Display"/>
        <scheme val="major"/>
      </font>
      <alignment horizontal="center" vertical="center" textRotation="0" wrapText="1" indent="0" justifyLastLine="0" shrinkToFit="0" readingOrder="0"/>
    </dxf>
    <dxf>
      <font>
        <b/>
        <i val="0"/>
        <strike val="0"/>
        <condense val="0"/>
        <extend val="0"/>
        <outline val="0"/>
        <shadow val="0"/>
        <u val="none"/>
        <vertAlign val="baseline"/>
        <sz val="12"/>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854CD4-0244-4C5A-9CB1-BDE026D8CD6C}" name="Table1" displayName="Table1" ref="A2:G69" totalsRowShown="0" headerRowDxfId="9" dataDxfId="8" tableBorderDxfId="7">
  <autoFilter ref="A2:G69" xr:uid="{7D854CD4-0244-4C5A-9CB1-BDE026D8CD6C}"/>
  <sortState xmlns:xlrd2="http://schemas.microsoft.com/office/spreadsheetml/2017/richdata2" ref="A3:G69">
    <sortCondition ref="B2:B69"/>
  </sortState>
  <tableColumns count="7">
    <tableColumn id="1" xr3:uid="{0F5E9F6F-2E6A-4855-BA16-9939C7BB84EA}" name="Date" dataDxfId="6"/>
    <tableColumn id="2" xr3:uid="{D52DA537-3903-4D97-816F-853BE954F3DB}" name="Name" dataDxfId="5"/>
    <tableColumn id="3" xr3:uid="{D582AD78-6247-481A-ACA3-2E40AC938D5A}" name="Time Started" dataDxfId="4"/>
    <tableColumn id="4" xr3:uid="{EC1FA883-875D-453C-835D-14495A2ED7B6}" name="Time Ended" dataDxfId="3"/>
    <tableColumn id="5" xr3:uid="{16D88CB8-A40D-4D7E-A6A7-A013CE9E3F54}" name="Total Time Spent (H:MM)" dataDxfId="2">
      <calculatedColumnFormula>D3-C3</calculatedColumnFormula>
    </tableColumn>
    <tableColumn id="6" xr3:uid="{11AB6D69-2121-4E11-B04B-8D7C0AEEA809}" name="Task Description" dataDxfId="1"/>
    <tableColumn id="7" xr3:uid="{F684A4CB-F3BA-42B5-994D-7AFEE862E302}" name="Completion"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FE46-C503-478F-B3F1-EB08867602C5}">
  <dimension ref="A1:J70"/>
  <sheetViews>
    <sheetView topLeftCell="F1" workbookViewId="0">
      <selection activeCell="O5" sqref="O5"/>
    </sheetView>
  </sheetViews>
  <sheetFormatPr defaultRowHeight="14.45"/>
  <cols>
    <col min="1" max="1" width="15.140625" customWidth="1"/>
    <col min="2" max="2" width="23" customWidth="1"/>
    <col min="3" max="3" width="17" bestFit="1" customWidth="1"/>
    <col min="4" max="4" width="16.42578125" customWidth="1"/>
    <col min="5" max="5" width="30.140625" customWidth="1"/>
    <col min="6" max="6" width="58.42578125" customWidth="1"/>
    <col min="7" max="7" width="17.85546875" customWidth="1"/>
    <col min="9" max="9" width="25" bestFit="1" customWidth="1"/>
  </cols>
  <sheetData>
    <row r="1" spans="1:10" ht="26.85" customHeight="1">
      <c r="A1" s="43" t="s">
        <v>0</v>
      </c>
      <c r="B1" s="44"/>
      <c r="C1" s="44"/>
      <c r="D1" s="44"/>
      <c r="E1" s="44"/>
      <c r="F1" s="44"/>
      <c r="G1" s="44"/>
    </row>
    <row r="2" spans="1:10" ht="15.75">
      <c r="A2" s="57" t="s">
        <v>1</v>
      </c>
      <c r="B2" s="57" t="s">
        <v>2</v>
      </c>
      <c r="C2" s="57" t="s">
        <v>3</v>
      </c>
      <c r="D2" s="57" t="s">
        <v>4</v>
      </c>
      <c r="E2" s="57" t="s">
        <v>5</v>
      </c>
      <c r="F2" s="57" t="s">
        <v>6</v>
      </c>
      <c r="G2" s="58" t="s">
        <v>7</v>
      </c>
    </row>
    <row r="3" spans="1:10" ht="61.5">
      <c r="A3" s="41">
        <f>DATE(2025,8,28)</f>
        <v>45897</v>
      </c>
      <c r="B3" s="12" t="s">
        <v>8</v>
      </c>
      <c r="C3" s="13">
        <v>0.54166666666666663</v>
      </c>
      <c r="D3" s="13">
        <v>0.59375</v>
      </c>
      <c r="E3" s="14">
        <f>D3-C3</f>
        <v>5.208333333333337E-2</v>
      </c>
      <c r="F3" s="15" t="s">
        <v>9</v>
      </c>
      <c r="G3" s="16" t="s">
        <v>10</v>
      </c>
      <c r="I3" t="s">
        <v>11</v>
      </c>
      <c r="J3" s="56">
        <f>SUM(E3:E17)</f>
        <v>45918.727777777785</v>
      </c>
    </row>
    <row r="4" spans="1:10" ht="92.25">
      <c r="A4" s="42">
        <v>45902</v>
      </c>
      <c r="B4" s="19" t="s">
        <v>8</v>
      </c>
      <c r="C4" s="13">
        <v>0.54166666666666663</v>
      </c>
      <c r="D4" s="13">
        <v>0.59375</v>
      </c>
      <c r="E4" s="14">
        <f>D4-C4</f>
        <v>5.208333333333337E-2</v>
      </c>
      <c r="F4" s="15" t="s">
        <v>12</v>
      </c>
      <c r="G4" s="16" t="s">
        <v>13</v>
      </c>
      <c r="H4" t="s">
        <v>14</v>
      </c>
    </row>
    <row r="5" spans="1:10" ht="46.5">
      <c r="A5" s="40">
        <f>DATE(2025,9,4)</f>
        <v>45904</v>
      </c>
      <c r="B5" s="20" t="s">
        <v>8</v>
      </c>
      <c r="C5" s="13">
        <v>0.54166666666666663</v>
      </c>
      <c r="D5" s="13">
        <v>0.59375</v>
      </c>
      <c r="E5" s="14">
        <f>D5-C5</f>
        <v>5.208333333333337E-2</v>
      </c>
      <c r="F5" s="22" t="s">
        <v>15</v>
      </c>
      <c r="G5" s="18"/>
    </row>
    <row r="6" spans="1:10" ht="57.75">
      <c r="A6" s="38">
        <f>DATE(2025,9,9)</f>
        <v>45909</v>
      </c>
      <c r="B6" s="20" t="s">
        <v>8</v>
      </c>
      <c r="C6" s="13">
        <v>0.54166666666666663</v>
      </c>
      <c r="D6" s="13">
        <v>0.59375</v>
      </c>
      <c r="E6" s="14">
        <f>D6-C6</f>
        <v>5.208333333333337E-2</v>
      </c>
      <c r="F6" s="21" t="s">
        <v>16</v>
      </c>
      <c r="G6" s="33">
        <v>0.5</v>
      </c>
    </row>
    <row r="7" spans="1:10" ht="32.25" customHeight="1">
      <c r="A7" s="39">
        <f>DATE(2025,9,11)</f>
        <v>45911</v>
      </c>
      <c r="B7" s="20" t="s">
        <v>8</v>
      </c>
      <c r="C7" s="13">
        <v>0.54166666666666663</v>
      </c>
      <c r="D7" s="13">
        <v>0.59375</v>
      </c>
      <c r="E7" s="14">
        <f>D7-C7</f>
        <v>5.208333333333337E-2</v>
      </c>
      <c r="F7" s="21" t="s">
        <v>17</v>
      </c>
      <c r="G7" s="60">
        <v>0.85</v>
      </c>
    </row>
    <row r="8" spans="1:10" ht="57.75">
      <c r="A8" s="40">
        <f>DATE(2025,9,16)</f>
        <v>45916</v>
      </c>
      <c r="B8" s="20" t="s">
        <v>8</v>
      </c>
      <c r="C8" s="13">
        <v>0.54166666666666663</v>
      </c>
      <c r="D8" s="13">
        <v>0.59375</v>
      </c>
      <c r="E8" s="14">
        <f>DATE(2025,9,18)</f>
        <v>45918</v>
      </c>
      <c r="F8" s="21" t="s">
        <v>18</v>
      </c>
      <c r="G8" s="33">
        <v>0.15</v>
      </c>
    </row>
    <row r="9" spans="1:10" ht="15.75">
      <c r="A9" s="38">
        <f>DATE(2025,9,18)</f>
        <v>45918</v>
      </c>
      <c r="B9" s="20" t="s">
        <v>8</v>
      </c>
      <c r="C9" s="13">
        <v>0.54166666666666663</v>
      </c>
      <c r="D9" s="13">
        <v>0.59375</v>
      </c>
      <c r="E9" s="14">
        <f>D9-C9</f>
        <v>5.208333333333337E-2</v>
      </c>
      <c r="F9" s="21"/>
      <c r="G9" s="16"/>
    </row>
    <row r="10" spans="1:10" ht="30.75" customHeight="1">
      <c r="A10" s="39">
        <f>DATE(2025,9,23)</f>
        <v>45923</v>
      </c>
      <c r="B10" s="20" t="s">
        <v>8</v>
      </c>
      <c r="C10" s="13">
        <v>0.54166666666666663</v>
      </c>
      <c r="D10" s="13">
        <v>0.59375</v>
      </c>
      <c r="E10" s="14">
        <f>D10-C10</f>
        <v>5.208333333333337E-2</v>
      </c>
      <c r="F10" s="21" t="s">
        <v>19</v>
      </c>
      <c r="G10" s="33">
        <v>0.3</v>
      </c>
    </row>
    <row r="11" spans="1:10" ht="159">
      <c r="A11" s="40">
        <f>DATE(2025,9,25)</f>
        <v>45925</v>
      </c>
      <c r="B11" s="20" t="s">
        <v>8</v>
      </c>
      <c r="C11" s="13">
        <v>0.54166666666666663</v>
      </c>
      <c r="D11" s="13">
        <v>0.59027777777777779</v>
      </c>
      <c r="E11" s="14">
        <f>D11-C11</f>
        <v>4.861111111111116E-2</v>
      </c>
      <c r="F11" s="21" t="s">
        <v>20</v>
      </c>
      <c r="G11" s="33">
        <v>0.55000000000000004</v>
      </c>
    </row>
    <row r="12" spans="1:10" ht="72.75">
      <c r="A12" s="38">
        <f>DATE(2025,9,30)</f>
        <v>45930</v>
      </c>
      <c r="B12" s="20" t="s">
        <v>8</v>
      </c>
      <c r="C12" s="13">
        <v>0.54166666666666663</v>
      </c>
      <c r="D12" s="13">
        <v>0.59583333333333333</v>
      </c>
      <c r="E12" s="14">
        <f>D12-C12</f>
        <v>5.4166666666666696E-2</v>
      </c>
      <c r="F12" s="21" t="s">
        <v>21</v>
      </c>
      <c r="G12" s="33">
        <v>0.5</v>
      </c>
    </row>
    <row r="13" spans="1:10" ht="15.6" customHeight="1">
      <c r="A13" s="39">
        <f>DATE(2025,10,2)</f>
        <v>45932</v>
      </c>
      <c r="B13" s="20" t="s">
        <v>8</v>
      </c>
      <c r="C13" s="13">
        <v>0.52430555555555558</v>
      </c>
      <c r="D13" s="13">
        <v>0.59375</v>
      </c>
      <c r="E13" s="14">
        <f>D13-C13</f>
        <v>6.944444444444442E-2</v>
      </c>
      <c r="F13" s="59" t="s">
        <v>22</v>
      </c>
      <c r="G13" s="16" t="s">
        <v>23</v>
      </c>
    </row>
    <row r="14" spans="1:10" ht="15.6" customHeight="1">
      <c r="A14" s="40">
        <f>DATE(2025,10,7)</f>
        <v>45937</v>
      </c>
      <c r="B14" s="20" t="s">
        <v>8</v>
      </c>
      <c r="C14" s="13">
        <v>0.52430555555555558</v>
      </c>
      <c r="D14" s="13">
        <v>0.59027777777777779</v>
      </c>
      <c r="E14" s="14">
        <f>D14-C14</f>
        <v>6.597222222222221E-2</v>
      </c>
      <c r="F14" s="21" t="s">
        <v>24</v>
      </c>
      <c r="G14" s="16" t="s">
        <v>25</v>
      </c>
    </row>
    <row r="15" spans="1:10" ht="15.75">
      <c r="A15" s="38">
        <f>DATE(2025,10,9)</f>
        <v>45939</v>
      </c>
      <c r="B15" s="20" t="s">
        <v>8</v>
      </c>
      <c r="C15" s="13">
        <v>0.54166666666666663</v>
      </c>
      <c r="D15" s="13">
        <v>0.59375</v>
      </c>
      <c r="E15" s="14">
        <f>D15-C15</f>
        <v>5.208333333333337E-2</v>
      </c>
      <c r="F15" s="21" t="s">
        <v>26</v>
      </c>
      <c r="G15" s="33">
        <v>0.9</v>
      </c>
    </row>
    <row r="16" spans="1:10" ht="15.75">
      <c r="A16" s="39">
        <f>DATE(2025,10,21)</f>
        <v>45951</v>
      </c>
      <c r="B16" s="20" t="s">
        <v>8</v>
      </c>
      <c r="C16" s="13">
        <v>0.54166666666666663</v>
      </c>
      <c r="D16" s="13">
        <v>0.59375</v>
      </c>
      <c r="E16" s="14">
        <f>D16-C16</f>
        <v>5.208333333333337E-2</v>
      </c>
      <c r="F16" s="21" t="s">
        <v>27</v>
      </c>
      <c r="G16" s="33">
        <v>0.15</v>
      </c>
    </row>
    <row r="17" spans="1:7" ht="15.75">
      <c r="A17" s="40">
        <f>DATE(2025,10,23)</f>
        <v>45953</v>
      </c>
      <c r="B17" s="20" t="s">
        <v>8</v>
      </c>
      <c r="C17" s="13">
        <v>0.5625</v>
      </c>
      <c r="D17" s="13">
        <v>0.58333333333333337</v>
      </c>
      <c r="E17" s="14">
        <f>D17-C17</f>
        <v>2.083333333333337E-2</v>
      </c>
      <c r="F17" s="21" t="s">
        <v>28</v>
      </c>
      <c r="G17" s="33">
        <v>1</v>
      </c>
    </row>
    <row r="18" spans="1:7" ht="15.75">
      <c r="A18" s="41"/>
      <c r="B18" s="12" t="s">
        <v>29</v>
      </c>
      <c r="C18" s="13">
        <v>0.54166666666666663</v>
      </c>
      <c r="D18" s="13">
        <v>0.59375</v>
      </c>
      <c r="E18" s="14">
        <f>D18-C18</f>
        <v>5.208333333333337E-2</v>
      </c>
      <c r="F18" s="15" t="s">
        <v>30</v>
      </c>
      <c r="G18" s="16" t="s">
        <v>10</v>
      </c>
    </row>
    <row r="19" spans="1:7" ht="29.25">
      <c r="A19" s="42"/>
      <c r="B19" s="20" t="s">
        <v>29</v>
      </c>
      <c r="C19" s="13">
        <v>0.54166666666666663</v>
      </c>
      <c r="D19" s="13">
        <v>0.59375</v>
      </c>
      <c r="E19" s="14">
        <f>D19-C19</f>
        <v>5.208333333333337E-2</v>
      </c>
      <c r="F19" s="21" t="s">
        <v>31</v>
      </c>
      <c r="G19" s="16"/>
    </row>
    <row r="20" spans="1:7" ht="15.75">
      <c r="A20" s="40"/>
      <c r="B20" s="20" t="s">
        <v>29</v>
      </c>
      <c r="C20" s="13">
        <v>0.54166666666666663</v>
      </c>
      <c r="D20" s="13">
        <v>0.59375</v>
      </c>
      <c r="E20" s="14">
        <f>D20-C20</f>
        <v>5.208333333333337E-2</v>
      </c>
      <c r="F20" s="21" t="s">
        <v>32</v>
      </c>
      <c r="G20" s="16"/>
    </row>
    <row r="21" spans="1:7" ht="46.5">
      <c r="A21" s="41"/>
      <c r="B21" s="12" t="s">
        <v>33</v>
      </c>
      <c r="C21" s="13">
        <v>0.54166666666666663</v>
      </c>
      <c r="D21" s="13">
        <v>0.59375</v>
      </c>
      <c r="E21" s="17">
        <v>5.2083333333333336E-2</v>
      </c>
      <c r="F21" s="15" t="s">
        <v>34</v>
      </c>
      <c r="G21" s="16" t="s">
        <v>10</v>
      </c>
    </row>
    <row r="22" spans="1:7" ht="57.75">
      <c r="A22" s="42"/>
      <c r="B22" s="20" t="s">
        <v>33</v>
      </c>
      <c r="C22" s="13">
        <v>0.54166666666666663</v>
      </c>
      <c r="D22" s="13">
        <v>0.59375</v>
      </c>
      <c r="E22" s="14">
        <f>D22-C22</f>
        <v>5.208333333333337E-2</v>
      </c>
      <c r="F22" s="21" t="s">
        <v>35</v>
      </c>
      <c r="G22" s="16"/>
    </row>
    <row r="23" spans="1:7" ht="29.25">
      <c r="A23" s="40"/>
      <c r="B23" s="20" t="s">
        <v>33</v>
      </c>
      <c r="C23" s="13">
        <v>0.54166666666666663</v>
      </c>
      <c r="D23" s="13">
        <v>0.59375</v>
      </c>
      <c r="E23" s="14">
        <f>D23-C23</f>
        <v>5.208333333333337E-2</v>
      </c>
      <c r="F23" s="21" t="s">
        <v>36</v>
      </c>
      <c r="G23" s="16"/>
    </row>
    <row r="24" spans="1:7" ht="15.75">
      <c r="A24" s="38"/>
      <c r="B24" s="20"/>
      <c r="C24" s="13"/>
      <c r="D24" s="13"/>
      <c r="E24" s="14">
        <f>D24-C24</f>
        <v>0</v>
      </c>
      <c r="F24" s="22"/>
      <c r="G24" s="16"/>
    </row>
    <row r="25" spans="1:7" ht="15.75">
      <c r="A25" s="39"/>
      <c r="B25" s="20"/>
      <c r="C25" s="13"/>
      <c r="D25" s="13"/>
      <c r="E25" s="14">
        <f>D25-C25</f>
        <v>0</v>
      </c>
      <c r="F25" s="21"/>
      <c r="G25" s="16"/>
    </row>
    <row r="26" spans="1:7" ht="15.75">
      <c r="A26" s="40"/>
      <c r="B26" s="20"/>
      <c r="C26" s="13"/>
      <c r="D26" s="13"/>
      <c r="E26" s="14">
        <f>D26-C26</f>
        <v>0</v>
      </c>
      <c r="F26" s="21"/>
      <c r="G26" s="16"/>
    </row>
    <row r="27" spans="1:7" ht="15.75">
      <c r="A27" s="38"/>
      <c r="B27" s="20"/>
      <c r="C27" s="13"/>
      <c r="D27" s="13"/>
      <c r="E27" s="14">
        <f>D27-C27</f>
        <v>0</v>
      </c>
      <c r="F27" s="21"/>
      <c r="G27" s="16"/>
    </row>
    <row r="28" spans="1:7" ht="15.75">
      <c r="A28" s="39"/>
      <c r="B28" s="20"/>
      <c r="C28" s="13"/>
      <c r="D28" s="13"/>
      <c r="E28" s="14">
        <f>D28-C28</f>
        <v>0</v>
      </c>
      <c r="F28" s="21"/>
      <c r="G28" s="16"/>
    </row>
    <row r="29" spans="1:7" ht="15.75">
      <c r="A29" s="40"/>
      <c r="B29" s="20"/>
      <c r="C29" s="13"/>
      <c r="D29" s="13"/>
      <c r="E29" s="14">
        <f>D29-C29</f>
        <v>0</v>
      </c>
      <c r="F29" s="21"/>
      <c r="G29" s="16"/>
    </row>
    <row r="30" spans="1:7" ht="15.75">
      <c r="A30" s="38"/>
      <c r="B30" s="23"/>
      <c r="C30" s="13"/>
      <c r="D30" s="13"/>
      <c r="E30" s="14">
        <f>D30-C30</f>
        <v>0</v>
      </c>
      <c r="F30" s="24"/>
      <c r="G30" s="16"/>
    </row>
    <row r="31" spans="1:7" ht="15.75">
      <c r="A31" s="39"/>
      <c r="B31" s="25"/>
      <c r="C31" s="13"/>
      <c r="D31" s="13"/>
      <c r="E31" s="14">
        <f>D31-C31</f>
        <v>0</v>
      </c>
      <c r="F31" s="26"/>
      <c r="G31" s="16"/>
    </row>
    <row r="32" spans="1:7" ht="15.75">
      <c r="A32" s="40"/>
      <c r="B32" s="25"/>
      <c r="C32" s="13"/>
      <c r="D32" s="13"/>
      <c r="E32" s="14">
        <f>D32-C32</f>
        <v>0</v>
      </c>
      <c r="F32" s="26"/>
      <c r="G32" s="16"/>
    </row>
    <row r="33" spans="1:7" ht="15.75">
      <c r="A33" s="38"/>
      <c r="B33" s="25"/>
      <c r="C33" s="13"/>
      <c r="D33" s="13"/>
      <c r="E33" s="14">
        <f>D33-C33</f>
        <v>0</v>
      </c>
      <c r="F33" s="26"/>
      <c r="G33" s="16"/>
    </row>
    <row r="34" spans="1:7" ht="15.75">
      <c r="A34" s="39"/>
      <c r="B34" s="25"/>
      <c r="C34" s="13"/>
      <c r="D34" s="13"/>
      <c r="E34" s="14">
        <f>D34-C34</f>
        <v>0</v>
      </c>
      <c r="F34" s="26"/>
      <c r="G34" s="16"/>
    </row>
    <row r="35" spans="1:7" ht="15.75">
      <c r="A35" s="40"/>
      <c r="B35" s="25"/>
      <c r="C35" s="13"/>
      <c r="D35" s="13"/>
      <c r="E35" s="14">
        <f>D35-C35</f>
        <v>0</v>
      </c>
      <c r="F35" s="26"/>
      <c r="G35" s="16"/>
    </row>
    <row r="36" spans="1:7" ht="15.75">
      <c r="A36" s="38"/>
      <c r="B36" s="25"/>
      <c r="C36" s="13"/>
      <c r="D36" s="13"/>
      <c r="E36" s="14">
        <f>D36-C36</f>
        <v>0</v>
      </c>
      <c r="F36" s="26"/>
      <c r="G36" s="16"/>
    </row>
    <row r="37" spans="1:7" ht="15.75">
      <c r="A37" s="39"/>
      <c r="B37" s="25"/>
      <c r="C37" s="13"/>
      <c r="D37" s="13"/>
      <c r="E37" s="14">
        <f>D37-C37</f>
        <v>0</v>
      </c>
      <c r="F37" s="26"/>
      <c r="G37" s="16"/>
    </row>
    <row r="38" spans="1:7" ht="15.75">
      <c r="A38" s="40"/>
      <c r="B38" s="25"/>
      <c r="C38" s="13"/>
      <c r="D38" s="13"/>
      <c r="E38" s="14">
        <f>D38-C38</f>
        <v>0</v>
      </c>
      <c r="F38" s="26"/>
      <c r="G38" s="16"/>
    </row>
    <row r="39" spans="1:7" ht="15.75">
      <c r="A39" s="38"/>
      <c r="B39" s="25"/>
      <c r="C39" s="13"/>
      <c r="D39" s="13"/>
      <c r="E39" s="14">
        <f>D39-C39</f>
        <v>0</v>
      </c>
      <c r="F39" s="26"/>
      <c r="G39" s="16"/>
    </row>
    <row r="40" spans="1:7" ht="15.75">
      <c r="A40" s="39"/>
      <c r="B40" s="25"/>
      <c r="C40" s="13"/>
      <c r="D40" s="13"/>
      <c r="E40" s="14">
        <f>D40-C40</f>
        <v>0</v>
      </c>
      <c r="F40" s="26"/>
      <c r="G40" s="16"/>
    </row>
    <row r="41" spans="1:7" ht="15.75">
      <c r="A41" s="40"/>
      <c r="B41" s="25"/>
      <c r="C41" s="13"/>
      <c r="D41" s="13"/>
      <c r="E41" s="14">
        <f>D41-C41</f>
        <v>0</v>
      </c>
      <c r="F41" s="26"/>
      <c r="G41" s="16"/>
    </row>
    <row r="42" spans="1:7" ht="15.75">
      <c r="A42" s="38"/>
      <c r="B42" s="25"/>
      <c r="C42" s="13"/>
      <c r="D42" s="13"/>
      <c r="E42" s="14">
        <f>D42-C42</f>
        <v>0</v>
      </c>
      <c r="F42" s="26"/>
      <c r="G42" s="16"/>
    </row>
    <row r="43" spans="1:7" ht="15.75">
      <c r="A43" s="39"/>
      <c r="B43" s="25"/>
      <c r="C43" s="13"/>
      <c r="D43" s="13"/>
      <c r="E43" s="14">
        <f>D43-C43</f>
        <v>0</v>
      </c>
      <c r="F43" s="26"/>
      <c r="G43" s="16"/>
    </row>
    <row r="44" spans="1:7" ht="15.75">
      <c r="A44" s="40"/>
      <c r="B44" s="25"/>
      <c r="C44" s="13"/>
      <c r="D44" s="13"/>
      <c r="E44" s="14">
        <f>D44-C44</f>
        <v>0</v>
      </c>
      <c r="F44" s="26"/>
      <c r="G44" s="16"/>
    </row>
    <row r="45" spans="1:7" ht="15.75">
      <c r="A45" s="38"/>
      <c r="B45" s="25"/>
      <c r="C45" s="13"/>
      <c r="D45" s="13"/>
      <c r="E45" s="14">
        <f>D45-C45</f>
        <v>0</v>
      </c>
      <c r="F45" s="26"/>
      <c r="G45" s="16"/>
    </row>
    <row r="46" spans="1:7" ht="15.75">
      <c r="A46" s="39"/>
      <c r="B46" s="25"/>
      <c r="C46" s="13"/>
      <c r="D46" s="13"/>
      <c r="E46" s="14">
        <f>D46-C46</f>
        <v>0</v>
      </c>
      <c r="F46" s="26"/>
      <c r="G46" s="16"/>
    </row>
    <row r="47" spans="1:7" ht="15.75">
      <c r="A47" s="40"/>
      <c r="B47" s="25"/>
      <c r="C47" s="13"/>
      <c r="D47" s="13"/>
      <c r="E47" s="14">
        <f>D47-C47</f>
        <v>0</v>
      </c>
      <c r="F47" s="26"/>
      <c r="G47" s="16"/>
    </row>
    <row r="48" spans="1:7" ht="15.75">
      <c r="A48" s="29"/>
      <c r="B48" s="25"/>
      <c r="C48" s="13"/>
      <c r="D48" s="13"/>
      <c r="E48" s="14">
        <f>D48-C48</f>
        <v>0</v>
      </c>
      <c r="F48" s="26"/>
      <c r="G48" s="16"/>
    </row>
    <row r="49" spans="1:7" ht="15.75">
      <c r="A49" s="29"/>
      <c r="B49" s="25"/>
      <c r="C49" s="13"/>
      <c r="D49" s="13"/>
      <c r="E49" s="14">
        <f>D49-C49</f>
        <v>0</v>
      </c>
      <c r="F49" s="26"/>
      <c r="G49" s="16"/>
    </row>
    <row r="50" spans="1:7" ht="15.75">
      <c r="A50" s="29"/>
      <c r="B50" s="25"/>
      <c r="C50" s="13"/>
      <c r="D50" s="13"/>
      <c r="E50" s="14">
        <f>D50-C50</f>
        <v>0</v>
      </c>
      <c r="F50" s="26"/>
      <c r="G50" s="16"/>
    </row>
    <row r="51" spans="1:7" ht="15.75">
      <c r="A51" s="29"/>
      <c r="B51" s="25"/>
      <c r="C51" s="13"/>
      <c r="D51" s="13"/>
      <c r="E51" s="14">
        <f>D51-C51</f>
        <v>0</v>
      </c>
      <c r="F51" s="26"/>
      <c r="G51" s="16"/>
    </row>
    <row r="52" spans="1:7" ht="15.75">
      <c r="A52" s="29"/>
      <c r="B52" s="25"/>
      <c r="C52" s="13"/>
      <c r="D52" s="13"/>
      <c r="E52" s="14">
        <f>D52-C52</f>
        <v>0</v>
      </c>
      <c r="F52" s="26"/>
      <c r="G52" s="16"/>
    </row>
    <row r="53" spans="1:7" ht="15.75">
      <c r="A53" s="29"/>
      <c r="B53" s="25"/>
      <c r="C53" s="13"/>
      <c r="D53" s="13"/>
      <c r="E53" s="14">
        <f>D53-C53</f>
        <v>0</v>
      </c>
      <c r="F53" s="26"/>
      <c r="G53" s="16"/>
    </row>
    <row r="54" spans="1:7" ht="15.75">
      <c r="A54" s="29"/>
      <c r="B54" s="25"/>
      <c r="C54" s="13"/>
      <c r="D54" s="13"/>
      <c r="E54" s="14">
        <f>D54-C54</f>
        <v>0</v>
      </c>
      <c r="F54" s="26"/>
      <c r="G54" s="16"/>
    </row>
    <row r="55" spans="1:7" ht="15.75">
      <c r="A55" s="29"/>
      <c r="B55" s="25"/>
      <c r="C55" s="13"/>
      <c r="D55" s="13"/>
      <c r="E55" s="14">
        <f>D55-C55</f>
        <v>0</v>
      </c>
      <c r="F55" s="27"/>
      <c r="G55" s="16"/>
    </row>
    <row r="56" spans="1:7" ht="15.75">
      <c r="A56" s="29"/>
      <c r="B56" s="25"/>
      <c r="C56" s="13"/>
      <c r="D56" s="13"/>
      <c r="E56" s="14">
        <f>D56-C56</f>
        <v>0</v>
      </c>
      <c r="F56" s="27"/>
      <c r="G56" s="16"/>
    </row>
    <row r="57" spans="1:7" ht="15.75">
      <c r="A57" s="29"/>
      <c r="B57" s="25"/>
      <c r="C57" s="13"/>
      <c r="D57" s="13"/>
      <c r="E57" s="14">
        <f>D57-C57</f>
        <v>0</v>
      </c>
      <c r="F57" s="27"/>
      <c r="G57" s="16"/>
    </row>
    <row r="58" spans="1:7" ht="15.75">
      <c r="A58" s="29"/>
      <c r="B58" s="25"/>
      <c r="C58" s="13"/>
      <c r="D58" s="13"/>
      <c r="E58" s="14">
        <f>D58-C58</f>
        <v>0</v>
      </c>
      <c r="F58" s="27"/>
      <c r="G58" s="16"/>
    </row>
    <row r="59" spans="1:7" ht="15.75">
      <c r="A59" s="29"/>
      <c r="B59" s="25"/>
      <c r="C59" s="13"/>
      <c r="D59" s="13"/>
      <c r="E59" s="14">
        <f>D59-C59</f>
        <v>0</v>
      </c>
      <c r="F59" s="27"/>
      <c r="G59" s="16"/>
    </row>
    <row r="60" spans="1:7" ht="15.75">
      <c r="A60" s="29"/>
      <c r="B60" s="25"/>
      <c r="C60" s="13"/>
      <c r="D60" s="13"/>
      <c r="E60" s="14">
        <f>D60-C60</f>
        <v>0</v>
      </c>
      <c r="F60" s="27"/>
      <c r="G60" s="16"/>
    </row>
    <row r="61" spans="1:7" ht="15.75">
      <c r="A61" s="29"/>
      <c r="B61" s="25"/>
      <c r="C61" s="13"/>
      <c r="D61" s="13"/>
      <c r="E61" s="14">
        <f>D61-C61</f>
        <v>0</v>
      </c>
      <c r="F61" s="27"/>
      <c r="G61" s="16"/>
    </row>
    <row r="62" spans="1:7" ht="15.75">
      <c r="A62" s="29"/>
      <c r="B62" s="25"/>
      <c r="C62" s="13"/>
      <c r="D62" s="13"/>
      <c r="E62" s="14">
        <f>D62-C62</f>
        <v>0</v>
      </c>
      <c r="F62" s="27"/>
      <c r="G62" s="16"/>
    </row>
    <row r="63" spans="1:7" ht="15.75">
      <c r="A63" s="29"/>
      <c r="B63" s="25"/>
      <c r="C63" s="13"/>
      <c r="D63" s="13"/>
      <c r="E63" s="14">
        <f>D63-C63</f>
        <v>0</v>
      </c>
      <c r="F63" s="27"/>
      <c r="G63" s="16"/>
    </row>
    <row r="64" spans="1:7" ht="15.75">
      <c r="A64" s="29"/>
      <c r="B64" s="25"/>
      <c r="C64" s="13"/>
      <c r="D64" s="13"/>
      <c r="E64" s="14">
        <f>D64-C64</f>
        <v>0</v>
      </c>
      <c r="F64" s="27"/>
      <c r="G64" s="16"/>
    </row>
    <row r="65" spans="1:7" ht="15.75">
      <c r="A65" s="29"/>
      <c r="B65" s="25"/>
      <c r="C65" s="13"/>
      <c r="D65" s="13"/>
      <c r="E65" s="14">
        <f>D65-C65</f>
        <v>0</v>
      </c>
      <c r="F65" s="27"/>
      <c r="G65" s="16"/>
    </row>
    <row r="66" spans="1:7" ht="15.75">
      <c r="A66" s="29"/>
      <c r="B66" s="25"/>
      <c r="C66" s="13"/>
      <c r="D66" s="13"/>
      <c r="E66" s="14">
        <f>D66-C66</f>
        <v>0</v>
      </c>
      <c r="F66" s="27"/>
      <c r="G66" s="16"/>
    </row>
    <row r="67" spans="1:7" ht="15.75">
      <c r="A67" s="29"/>
      <c r="B67" s="25"/>
      <c r="C67" s="13"/>
      <c r="D67" s="13"/>
      <c r="E67" s="14">
        <f>D67-C67</f>
        <v>0</v>
      </c>
      <c r="F67" s="27"/>
      <c r="G67" s="16"/>
    </row>
    <row r="68" spans="1:7" ht="15.75">
      <c r="A68" s="29"/>
      <c r="B68" s="25"/>
      <c r="C68" s="13"/>
      <c r="D68" s="13"/>
      <c r="E68" s="14">
        <f>D68-C68</f>
        <v>0</v>
      </c>
      <c r="F68" s="27"/>
      <c r="G68" s="16"/>
    </row>
    <row r="69" spans="1:7" ht="15.75">
      <c r="A69" s="29"/>
      <c r="B69" s="25"/>
      <c r="C69" s="13"/>
      <c r="D69" s="13"/>
      <c r="E69" s="14">
        <f>D69-C69</f>
        <v>0</v>
      </c>
      <c r="F69" s="27"/>
      <c r="G69" s="16"/>
    </row>
    <row r="70" spans="1:7" ht="15">
      <c r="A70" s="30"/>
      <c r="B70" s="28"/>
      <c r="C70" s="28"/>
      <c r="D70" s="28"/>
      <c r="E70" s="28"/>
      <c r="F70" s="28"/>
      <c r="G70" s="28"/>
    </row>
  </sheetData>
  <mergeCells count="1">
    <mergeCell ref="A1:G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D392-91F4-4734-82B0-FE7823AAD597}">
  <dimension ref="A1:L66"/>
  <sheetViews>
    <sheetView tabSelected="1" topLeftCell="E1" workbookViewId="0">
      <selection activeCell="L6" sqref="L6"/>
    </sheetView>
  </sheetViews>
  <sheetFormatPr defaultRowHeight="15" customHeight="1"/>
  <cols>
    <col min="1" max="1" width="18.42578125" customWidth="1"/>
    <col min="2" max="2" width="27.42578125" customWidth="1"/>
    <col min="3" max="3" width="15.85546875" customWidth="1"/>
    <col min="4" max="4" width="12.85546875" customWidth="1"/>
    <col min="5" max="5" width="30.28515625" customWidth="1"/>
    <col min="6" max="6" width="53.42578125" customWidth="1"/>
    <col min="7" max="7" width="16.85546875" customWidth="1"/>
    <col min="11" max="11" width="22.7109375" bestFit="1" customWidth="1"/>
    <col min="12" max="12" width="41.42578125" customWidth="1"/>
  </cols>
  <sheetData>
    <row r="1" spans="1:12" ht="29.1" customHeight="1">
      <c r="A1" s="45" t="s">
        <v>37</v>
      </c>
      <c r="B1" s="46"/>
      <c r="C1" s="46"/>
      <c r="D1" s="46"/>
      <c r="E1" s="46"/>
      <c r="F1" s="46"/>
      <c r="G1" s="46"/>
    </row>
    <row r="2" spans="1:12" ht="32.25" customHeight="1">
      <c r="A2" s="1" t="s">
        <v>1</v>
      </c>
      <c r="B2" s="1" t="s">
        <v>2</v>
      </c>
      <c r="C2" s="1" t="s">
        <v>3</v>
      </c>
      <c r="D2" s="1" t="s">
        <v>4</v>
      </c>
      <c r="E2" s="1" t="s">
        <v>5</v>
      </c>
      <c r="F2" s="1" t="s">
        <v>6</v>
      </c>
      <c r="G2" s="11" t="s">
        <v>7</v>
      </c>
    </row>
    <row r="3" spans="1:12" ht="30.2" customHeight="1">
      <c r="A3" s="47">
        <f>DATE(2025,8,28)</f>
        <v>45897</v>
      </c>
      <c r="B3" s="53" t="s">
        <v>8</v>
      </c>
      <c r="C3" s="3">
        <v>0.44791666666666669</v>
      </c>
      <c r="D3" s="3">
        <v>0.47569444444444442</v>
      </c>
      <c r="E3" s="4">
        <f>D3-C3</f>
        <v>2.7777777777777735E-2</v>
      </c>
      <c r="F3" s="9" t="s">
        <v>38</v>
      </c>
      <c r="G3" s="6" t="s">
        <v>10</v>
      </c>
      <c r="K3" t="s">
        <v>39</v>
      </c>
      <c r="L3" s="56">
        <f>SUM(E3:E20)</f>
        <v>0.58541666666666659</v>
      </c>
    </row>
    <row r="4" spans="1:12" ht="15.75">
      <c r="A4" s="51"/>
      <c r="B4" s="54"/>
      <c r="C4" s="3">
        <v>0.72916666666666663</v>
      </c>
      <c r="D4" s="3">
        <v>0.79166666666666663</v>
      </c>
      <c r="E4" s="4">
        <f t="shared" ref="E4:E66" si="0">D4-C4</f>
        <v>6.25E-2</v>
      </c>
      <c r="F4" s="10" t="s">
        <v>40</v>
      </c>
      <c r="G4" s="6" t="s">
        <v>10</v>
      </c>
    </row>
    <row r="5" spans="1:12" ht="43.5">
      <c r="A5" s="48"/>
      <c r="B5" s="55"/>
      <c r="C5" s="3">
        <v>0.80208333333333337</v>
      </c>
      <c r="D5" s="3">
        <v>0.83472222222222225</v>
      </c>
      <c r="E5" s="4">
        <f t="shared" si="0"/>
        <v>3.2638888888888884E-2</v>
      </c>
      <c r="F5" s="10" t="s">
        <v>41</v>
      </c>
      <c r="G5" s="6" t="s">
        <v>10</v>
      </c>
      <c r="K5" t="s">
        <v>42</v>
      </c>
      <c r="L5" s="61" t="s">
        <v>43</v>
      </c>
    </row>
    <row r="6" spans="1:12" ht="61.5">
      <c r="A6" s="31">
        <f>DATE(2025,9,1)</f>
        <v>45901</v>
      </c>
      <c r="B6" s="2" t="s">
        <v>8</v>
      </c>
      <c r="C6" s="3">
        <v>0.90069444444444446</v>
      </c>
      <c r="D6" s="3">
        <v>0.94861111111111107</v>
      </c>
      <c r="E6" s="4">
        <f t="shared" si="0"/>
        <v>4.7916666666666607E-2</v>
      </c>
      <c r="F6" s="10" t="s">
        <v>44</v>
      </c>
      <c r="G6" s="6" t="s">
        <v>10</v>
      </c>
    </row>
    <row r="7" spans="1:12" ht="15.75">
      <c r="A7" s="31">
        <f>DATE(2025,9,4)</f>
        <v>45904</v>
      </c>
      <c r="B7" s="2" t="s">
        <v>8</v>
      </c>
      <c r="C7" s="3">
        <v>0.71875</v>
      </c>
      <c r="D7" s="3">
        <v>0.73263888888888884</v>
      </c>
      <c r="E7" s="4">
        <f t="shared" si="0"/>
        <v>1.388888888888884E-2</v>
      </c>
      <c r="F7" s="10" t="s">
        <v>45</v>
      </c>
      <c r="G7" s="32">
        <v>1</v>
      </c>
    </row>
    <row r="8" spans="1:12" ht="15.75">
      <c r="A8" s="47">
        <f>DATE(2025,9,18)</f>
        <v>45918</v>
      </c>
      <c r="B8" s="49" t="s">
        <v>8</v>
      </c>
      <c r="C8" s="34">
        <v>0.52777777777777779</v>
      </c>
      <c r="D8" s="34">
        <v>0.53819444444444442</v>
      </c>
      <c r="E8" s="4">
        <f t="shared" si="0"/>
        <v>1.041666666666663E-2</v>
      </c>
      <c r="F8" s="36" t="s">
        <v>46</v>
      </c>
      <c r="G8" s="6"/>
    </row>
    <row r="9" spans="1:12" ht="15.75">
      <c r="A9" s="48"/>
      <c r="B9" s="50"/>
      <c r="C9" s="34">
        <v>0.28819444444444442</v>
      </c>
      <c r="D9" s="34">
        <v>0.30555555555555558</v>
      </c>
      <c r="E9" s="4">
        <f t="shared" si="0"/>
        <v>1.736111111111116E-2</v>
      </c>
      <c r="F9" s="36" t="s">
        <v>47</v>
      </c>
      <c r="G9" s="32">
        <v>1</v>
      </c>
    </row>
    <row r="10" spans="1:12" ht="29.25">
      <c r="A10" s="47">
        <f>DATE(2025,9,25)</f>
        <v>45925</v>
      </c>
      <c r="B10" s="49" t="s">
        <v>8</v>
      </c>
      <c r="C10" s="34">
        <v>0.4513888888888889</v>
      </c>
      <c r="D10" s="34">
        <v>0.4826388888888889</v>
      </c>
      <c r="E10" s="4">
        <f t="shared" si="0"/>
        <v>3.125E-2</v>
      </c>
      <c r="F10" s="36" t="s">
        <v>48</v>
      </c>
      <c r="G10" s="32">
        <v>0.4</v>
      </c>
    </row>
    <row r="11" spans="1:12" ht="29.25">
      <c r="A11" s="51"/>
      <c r="B11" s="52"/>
      <c r="C11" s="34">
        <v>0.52777777777777779</v>
      </c>
      <c r="D11" s="34">
        <v>0.53819444444444442</v>
      </c>
      <c r="E11" s="4">
        <f t="shared" si="0"/>
        <v>1.041666666666663E-2</v>
      </c>
      <c r="F11" s="36" t="s">
        <v>49</v>
      </c>
      <c r="G11" s="32">
        <v>0.45</v>
      </c>
    </row>
    <row r="12" spans="1:12" ht="43.5">
      <c r="A12" s="51"/>
      <c r="B12" s="52"/>
      <c r="C12" s="34">
        <v>0.70138888888888884</v>
      </c>
      <c r="D12" s="34">
        <v>0.75</v>
      </c>
      <c r="E12" s="4">
        <f t="shared" si="0"/>
        <v>4.861111111111116E-2</v>
      </c>
      <c r="F12" s="36" t="s">
        <v>50</v>
      </c>
      <c r="G12" s="32">
        <v>0.65</v>
      </c>
    </row>
    <row r="13" spans="1:12" ht="72.75">
      <c r="A13" s="48"/>
      <c r="B13" s="50"/>
      <c r="C13" s="34">
        <v>0.90625</v>
      </c>
      <c r="D13" s="34">
        <v>0.99791666666666667</v>
      </c>
      <c r="E13" s="4">
        <f t="shared" si="0"/>
        <v>9.1666666666666674E-2</v>
      </c>
      <c r="F13" s="36" t="s">
        <v>51</v>
      </c>
      <c r="G13" s="32">
        <v>1</v>
      </c>
    </row>
    <row r="14" spans="1:12" ht="29.25">
      <c r="A14" s="31">
        <f>DATE(2025,9,29)</f>
        <v>45929</v>
      </c>
      <c r="B14" s="37" t="s">
        <v>8</v>
      </c>
      <c r="C14" s="34">
        <v>0.49930555555555556</v>
      </c>
      <c r="D14" s="34">
        <v>0.50208333333333333</v>
      </c>
      <c r="E14" s="4">
        <f t="shared" si="0"/>
        <v>2.7777777777777679E-3</v>
      </c>
      <c r="F14" s="36" t="s">
        <v>52</v>
      </c>
      <c r="G14" s="32">
        <v>1</v>
      </c>
    </row>
    <row r="15" spans="1:12" ht="15.75">
      <c r="A15" s="31">
        <f>DATE(2025,10,2)</f>
        <v>45932</v>
      </c>
      <c r="B15" s="8" t="s">
        <v>8</v>
      </c>
      <c r="C15" s="34">
        <v>0.80833333333333335</v>
      </c>
      <c r="D15" s="34">
        <v>0.86111111111111116</v>
      </c>
      <c r="E15" s="4">
        <f t="shared" si="0"/>
        <v>5.2777777777777812E-2</v>
      </c>
      <c r="F15" s="36" t="s">
        <v>53</v>
      </c>
      <c r="G15" s="32">
        <v>1</v>
      </c>
    </row>
    <row r="16" spans="1:12" ht="15.75">
      <c r="A16" s="31">
        <f>DATE(2025,10,7)</f>
        <v>45937</v>
      </c>
      <c r="B16" s="8" t="s">
        <v>8</v>
      </c>
      <c r="C16" s="34">
        <v>0.40138888888888891</v>
      </c>
      <c r="D16" s="34">
        <v>0.4513888888888889</v>
      </c>
      <c r="E16" s="4">
        <f t="shared" si="0"/>
        <v>4.9999999999999989E-2</v>
      </c>
      <c r="F16" s="36" t="s">
        <v>54</v>
      </c>
      <c r="G16" s="32">
        <v>0.85</v>
      </c>
    </row>
    <row r="17" spans="1:7" ht="15.75">
      <c r="A17" s="47">
        <f>DATE(2025,10,9)</f>
        <v>45939</v>
      </c>
      <c r="B17" s="49" t="s">
        <v>8</v>
      </c>
      <c r="C17" s="34">
        <v>0.45694444444444443</v>
      </c>
      <c r="D17" s="34">
        <v>0.4777777777777778</v>
      </c>
      <c r="E17" s="4">
        <f t="shared" si="0"/>
        <v>2.083333333333337E-2</v>
      </c>
      <c r="F17" s="36" t="s">
        <v>55</v>
      </c>
      <c r="G17" s="32">
        <v>0.5</v>
      </c>
    </row>
    <row r="18" spans="1:7" ht="15.75">
      <c r="A18" s="51"/>
      <c r="B18" s="52"/>
      <c r="C18" s="34">
        <v>0.625</v>
      </c>
      <c r="D18" s="34">
        <v>0.65625</v>
      </c>
      <c r="E18" s="4">
        <f t="shared" si="0"/>
        <v>3.125E-2</v>
      </c>
      <c r="F18" s="36" t="s">
        <v>56</v>
      </c>
      <c r="G18" s="32">
        <v>1</v>
      </c>
    </row>
    <row r="19" spans="1:7">
      <c r="A19" s="48"/>
      <c r="B19" s="50"/>
      <c r="C19" s="34">
        <v>0.76041666666666663</v>
      </c>
      <c r="D19" s="34">
        <v>0.77083333333333337</v>
      </c>
      <c r="E19" s="4">
        <f t="shared" si="0"/>
        <v>1.0416666666666741E-2</v>
      </c>
      <c r="F19" s="36" t="s">
        <v>57</v>
      </c>
      <c r="G19" s="32">
        <v>1</v>
      </c>
    </row>
    <row r="20" spans="1:7" ht="15.75">
      <c r="A20" s="31">
        <f>DATE(2025,10,23)</f>
        <v>45953</v>
      </c>
      <c r="B20" s="8" t="s">
        <v>8</v>
      </c>
      <c r="C20" s="34">
        <v>0.70625000000000004</v>
      </c>
      <c r="D20" s="34">
        <v>0.72916666666666663</v>
      </c>
      <c r="E20" s="4">
        <f t="shared" si="0"/>
        <v>2.2916666666666585E-2</v>
      </c>
      <c r="F20" s="36" t="s">
        <v>58</v>
      </c>
      <c r="G20" s="6"/>
    </row>
    <row r="21" spans="1:7" ht="15.75">
      <c r="A21" s="31">
        <f t="shared" ref="A16:A29" si="1">DATE(2025,9,4)</f>
        <v>45904</v>
      </c>
      <c r="B21" s="8"/>
      <c r="C21" s="34"/>
      <c r="D21" s="34"/>
      <c r="E21" s="4">
        <f t="shared" si="0"/>
        <v>0</v>
      </c>
      <c r="F21" s="36"/>
      <c r="G21" s="6"/>
    </row>
    <row r="22" spans="1:7" ht="15.75">
      <c r="A22" s="31">
        <f t="shared" si="1"/>
        <v>45904</v>
      </c>
      <c r="B22" s="8"/>
      <c r="C22" s="34"/>
      <c r="D22" s="34"/>
      <c r="E22" s="4">
        <f t="shared" si="0"/>
        <v>0</v>
      </c>
      <c r="F22" s="36"/>
      <c r="G22" s="6"/>
    </row>
    <row r="23" spans="1:7" ht="15.75">
      <c r="A23" s="31">
        <f t="shared" si="1"/>
        <v>45904</v>
      </c>
      <c r="B23" s="8"/>
      <c r="C23" s="35"/>
      <c r="D23" s="35"/>
      <c r="E23" s="4">
        <f t="shared" si="0"/>
        <v>0</v>
      </c>
      <c r="F23" s="36"/>
      <c r="G23" s="6"/>
    </row>
    <row r="24" spans="1:7" ht="15.75">
      <c r="A24" s="31">
        <f t="shared" si="1"/>
        <v>45904</v>
      </c>
      <c r="B24" s="8"/>
      <c r="C24" s="35"/>
      <c r="D24" s="35"/>
      <c r="E24" s="4">
        <f t="shared" si="0"/>
        <v>0</v>
      </c>
      <c r="F24" s="36"/>
      <c r="G24" s="6"/>
    </row>
    <row r="25" spans="1:7" ht="15.75">
      <c r="A25" s="31">
        <f t="shared" si="1"/>
        <v>45904</v>
      </c>
      <c r="B25" s="8"/>
      <c r="C25" s="35"/>
      <c r="D25" s="35"/>
      <c r="E25" s="4">
        <f t="shared" si="0"/>
        <v>0</v>
      </c>
      <c r="F25" s="36"/>
      <c r="G25" s="6"/>
    </row>
    <row r="26" spans="1:7" ht="15.75">
      <c r="A26" s="31">
        <f t="shared" si="1"/>
        <v>45904</v>
      </c>
      <c r="B26" s="8"/>
      <c r="C26" s="35"/>
      <c r="D26" s="35"/>
      <c r="E26" s="4">
        <f t="shared" si="0"/>
        <v>0</v>
      </c>
      <c r="F26" s="36"/>
      <c r="G26" s="6"/>
    </row>
    <row r="27" spans="1:7" ht="15.75">
      <c r="A27" s="31">
        <f t="shared" si="1"/>
        <v>45904</v>
      </c>
      <c r="B27" s="8"/>
      <c r="C27" s="35"/>
      <c r="D27" s="35"/>
      <c r="E27" s="4">
        <f t="shared" si="0"/>
        <v>0</v>
      </c>
      <c r="F27" s="36"/>
      <c r="G27" s="6"/>
    </row>
    <row r="28" spans="1:7" ht="15.75">
      <c r="A28" s="31">
        <f t="shared" si="1"/>
        <v>45904</v>
      </c>
      <c r="B28" s="8"/>
      <c r="C28" s="35"/>
      <c r="D28" s="35"/>
      <c r="E28" s="4">
        <f t="shared" si="0"/>
        <v>0</v>
      </c>
      <c r="F28" s="36"/>
      <c r="G28" s="6"/>
    </row>
    <row r="29" spans="1:7" ht="15.75">
      <c r="A29" s="31">
        <f t="shared" si="1"/>
        <v>45904</v>
      </c>
      <c r="B29" s="8"/>
      <c r="C29" s="35"/>
      <c r="D29" s="35"/>
      <c r="E29" s="4">
        <f t="shared" si="0"/>
        <v>0</v>
      </c>
      <c r="F29" s="36"/>
      <c r="G29" s="6"/>
    </row>
    <row r="30" spans="1:7" ht="15.75">
      <c r="A30" s="7" t="e">
        <f t="shared" ref="A30:A66" si="2">DATE(0,0,0)</f>
        <v>#NUM!</v>
      </c>
      <c r="B30" s="8"/>
      <c r="C30" s="35"/>
      <c r="D30" s="35"/>
      <c r="E30" s="4">
        <f t="shared" si="0"/>
        <v>0</v>
      </c>
      <c r="F30" s="36"/>
      <c r="G30" s="6"/>
    </row>
    <row r="31" spans="1:7" ht="15.75">
      <c r="A31" s="7" t="e">
        <f t="shared" si="2"/>
        <v>#NUM!</v>
      </c>
      <c r="B31" s="8"/>
      <c r="C31" s="35"/>
      <c r="D31" s="35"/>
      <c r="E31" s="4">
        <f t="shared" si="0"/>
        <v>0</v>
      </c>
      <c r="F31" s="36"/>
      <c r="G31" s="6"/>
    </row>
    <row r="32" spans="1:7" ht="15.75">
      <c r="A32" s="7" t="e">
        <f t="shared" si="2"/>
        <v>#NUM!</v>
      </c>
      <c r="B32" s="8"/>
      <c r="C32" s="35"/>
      <c r="D32" s="35"/>
      <c r="E32" s="4">
        <f t="shared" si="0"/>
        <v>0</v>
      </c>
      <c r="F32" s="36"/>
      <c r="G32" s="6"/>
    </row>
    <row r="33" spans="1:7" ht="15.75">
      <c r="A33" s="7" t="e">
        <f t="shared" si="2"/>
        <v>#NUM!</v>
      </c>
      <c r="B33" s="8"/>
      <c r="C33" s="35"/>
      <c r="D33" s="35"/>
      <c r="E33" s="4">
        <f t="shared" si="0"/>
        <v>0</v>
      </c>
      <c r="F33" s="36"/>
      <c r="G33" s="6"/>
    </row>
    <row r="34" spans="1:7" ht="15.75">
      <c r="A34" s="7" t="e">
        <f t="shared" si="2"/>
        <v>#NUM!</v>
      </c>
      <c r="B34" s="8"/>
      <c r="C34" s="35"/>
      <c r="D34" s="35"/>
      <c r="E34" s="4">
        <f t="shared" si="0"/>
        <v>0</v>
      </c>
      <c r="F34" s="36"/>
      <c r="G34" s="6"/>
    </row>
    <row r="35" spans="1:7" ht="15.75">
      <c r="A35" s="7" t="e">
        <f t="shared" si="2"/>
        <v>#NUM!</v>
      </c>
      <c r="B35" s="8"/>
      <c r="C35" s="35"/>
      <c r="D35" s="35"/>
      <c r="E35" s="4">
        <f t="shared" si="0"/>
        <v>0</v>
      </c>
      <c r="F35" s="36"/>
      <c r="G35" s="6"/>
    </row>
    <row r="36" spans="1:7" ht="15.75">
      <c r="A36" s="7" t="e">
        <f t="shared" si="2"/>
        <v>#NUM!</v>
      </c>
      <c r="B36" s="8"/>
      <c r="C36" s="35"/>
      <c r="D36" s="35"/>
      <c r="E36" s="4">
        <f t="shared" si="0"/>
        <v>0</v>
      </c>
      <c r="F36" s="36"/>
      <c r="G36" s="6"/>
    </row>
    <row r="37" spans="1:7" ht="15.75">
      <c r="A37" s="7" t="e">
        <f t="shared" si="2"/>
        <v>#NUM!</v>
      </c>
      <c r="B37" s="8"/>
      <c r="C37" s="35"/>
      <c r="D37" s="35"/>
      <c r="E37" s="4">
        <f t="shared" si="0"/>
        <v>0</v>
      </c>
      <c r="F37" s="36"/>
      <c r="G37" s="6"/>
    </row>
    <row r="38" spans="1:7" ht="15.75">
      <c r="A38" s="7" t="e">
        <f t="shared" si="2"/>
        <v>#NUM!</v>
      </c>
      <c r="B38" s="8"/>
      <c r="C38" s="35"/>
      <c r="D38" s="35"/>
      <c r="E38" s="4">
        <f t="shared" si="0"/>
        <v>0</v>
      </c>
      <c r="F38" s="36"/>
      <c r="G38" s="6"/>
    </row>
    <row r="39" spans="1:7" ht="15.75">
      <c r="A39" s="7" t="e">
        <f t="shared" si="2"/>
        <v>#NUM!</v>
      </c>
      <c r="B39" s="8"/>
      <c r="C39" s="35"/>
      <c r="D39" s="35"/>
      <c r="E39" s="4">
        <f t="shared" si="0"/>
        <v>0</v>
      </c>
      <c r="F39" s="36"/>
      <c r="G39" s="6"/>
    </row>
    <row r="40" spans="1:7" ht="15.75">
      <c r="A40" s="7" t="e">
        <f t="shared" si="2"/>
        <v>#NUM!</v>
      </c>
      <c r="B40" s="8"/>
      <c r="C40" s="35"/>
      <c r="D40" s="35"/>
      <c r="E40" s="4">
        <f t="shared" si="0"/>
        <v>0</v>
      </c>
      <c r="F40" s="36"/>
      <c r="G40" s="6"/>
    </row>
    <row r="41" spans="1:7" ht="15.75">
      <c r="A41" s="7" t="e">
        <f t="shared" si="2"/>
        <v>#NUM!</v>
      </c>
      <c r="B41" s="8"/>
      <c r="C41" s="35"/>
      <c r="D41" s="35"/>
      <c r="E41" s="4">
        <f t="shared" si="0"/>
        <v>0</v>
      </c>
      <c r="F41" s="36"/>
      <c r="G41" s="6"/>
    </row>
    <row r="42" spans="1:7" ht="15.75">
      <c r="A42" s="7" t="e">
        <f t="shared" si="2"/>
        <v>#NUM!</v>
      </c>
      <c r="B42" s="8"/>
      <c r="C42" s="35"/>
      <c r="D42" s="35"/>
      <c r="E42" s="4">
        <f t="shared" si="0"/>
        <v>0</v>
      </c>
      <c r="F42" s="36"/>
      <c r="G42" s="6"/>
    </row>
    <row r="43" spans="1:7" ht="15.75">
      <c r="A43" s="7" t="e">
        <f t="shared" si="2"/>
        <v>#NUM!</v>
      </c>
      <c r="B43" s="8"/>
      <c r="C43" s="35"/>
      <c r="D43" s="35"/>
      <c r="E43" s="4">
        <f t="shared" si="0"/>
        <v>0</v>
      </c>
      <c r="F43" s="36"/>
      <c r="G43" s="6"/>
    </row>
    <row r="44" spans="1:7" ht="15.75">
      <c r="A44" s="7" t="e">
        <f>DATE(0,0,0)</f>
        <v>#NUM!</v>
      </c>
      <c r="B44" s="8"/>
      <c r="C44" s="35"/>
      <c r="D44" s="35"/>
      <c r="E44" s="4">
        <f t="shared" si="0"/>
        <v>0</v>
      </c>
      <c r="F44" s="36"/>
      <c r="G44" s="6"/>
    </row>
    <row r="45" spans="1:7" ht="15.75">
      <c r="A45" s="7" t="e">
        <f t="shared" si="2"/>
        <v>#NUM!</v>
      </c>
      <c r="B45" s="8"/>
      <c r="C45" s="35"/>
      <c r="D45" s="35"/>
      <c r="E45" s="4">
        <f t="shared" si="0"/>
        <v>0</v>
      </c>
      <c r="F45" s="36"/>
      <c r="G45" s="6"/>
    </row>
    <row r="46" spans="1:7" ht="15.75">
      <c r="A46" s="7" t="e">
        <f t="shared" si="2"/>
        <v>#NUM!</v>
      </c>
      <c r="B46" s="8"/>
      <c r="C46" s="35"/>
      <c r="D46" s="35"/>
      <c r="E46" s="4">
        <f t="shared" si="0"/>
        <v>0</v>
      </c>
      <c r="F46" s="36"/>
      <c r="G46" s="6"/>
    </row>
    <row r="47" spans="1:7" ht="15.75">
      <c r="A47" s="7" t="e">
        <f t="shared" si="2"/>
        <v>#NUM!</v>
      </c>
      <c r="B47" s="8"/>
      <c r="C47" s="35"/>
      <c r="D47" s="35"/>
      <c r="E47" s="4">
        <f t="shared" si="0"/>
        <v>0</v>
      </c>
      <c r="F47" s="36"/>
      <c r="G47" s="6"/>
    </row>
    <row r="48" spans="1:7" ht="15.75">
      <c r="A48" s="7" t="e">
        <f t="shared" si="2"/>
        <v>#NUM!</v>
      </c>
      <c r="B48" s="8"/>
      <c r="C48" s="35"/>
      <c r="D48" s="35"/>
      <c r="E48" s="4">
        <f t="shared" si="0"/>
        <v>0</v>
      </c>
      <c r="F48" s="36"/>
      <c r="G48" s="6"/>
    </row>
    <row r="49" spans="1:7" ht="15.75">
      <c r="A49" s="7" t="e">
        <f t="shared" si="2"/>
        <v>#NUM!</v>
      </c>
      <c r="B49" s="8"/>
      <c r="C49" s="35"/>
      <c r="D49" s="35"/>
      <c r="E49" s="4">
        <f t="shared" si="0"/>
        <v>0</v>
      </c>
      <c r="F49" s="36"/>
      <c r="G49" s="6"/>
    </row>
    <row r="50" spans="1:7" ht="15.75">
      <c r="A50" s="7" t="e">
        <f t="shared" si="2"/>
        <v>#NUM!</v>
      </c>
      <c r="B50" s="8"/>
      <c r="C50" s="35"/>
      <c r="D50" s="35"/>
      <c r="E50" s="4">
        <f t="shared" si="0"/>
        <v>0</v>
      </c>
      <c r="F50" s="36"/>
      <c r="G50" s="6"/>
    </row>
    <row r="51" spans="1:7" ht="15.75">
      <c r="A51" s="7" t="e">
        <f t="shared" si="2"/>
        <v>#NUM!</v>
      </c>
      <c r="B51" s="8"/>
      <c r="C51" s="5"/>
      <c r="D51" s="5"/>
      <c r="E51" s="4">
        <f t="shared" si="0"/>
        <v>0</v>
      </c>
      <c r="F51" s="36"/>
      <c r="G51" s="6"/>
    </row>
    <row r="52" spans="1:7" ht="15.75">
      <c r="A52" s="7" t="e">
        <f t="shared" si="2"/>
        <v>#NUM!</v>
      </c>
      <c r="B52" s="8"/>
      <c r="C52" s="5"/>
      <c r="D52" s="5"/>
      <c r="E52" s="4">
        <f t="shared" si="0"/>
        <v>0</v>
      </c>
      <c r="F52" s="36"/>
      <c r="G52" s="6"/>
    </row>
    <row r="53" spans="1:7" ht="15.75">
      <c r="A53" s="7" t="e">
        <f t="shared" si="2"/>
        <v>#NUM!</v>
      </c>
      <c r="B53" s="8"/>
      <c r="C53" s="5"/>
      <c r="D53" s="5"/>
      <c r="E53" s="4">
        <f t="shared" si="0"/>
        <v>0</v>
      </c>
      <c r="F53" s="36"/>
      <c r="G53" s="6"/>
    </row>
    <row r="54" spans="1:7" ht="15.75">
      <c r="A54" s="7" t="e">
        <f t="shared" si="2"/>
        <v>#NUM!</v>
      </c>
      <c r="B54" s="8"/>
      <c r="C54" s="5"/>
      <c r="D54" s="5"/>
      <c r="E54" s="4">
        <f t="shared" si="0"/>
        <v>0</v>
      </c>
      <c r="F54" s="36"/>
      <c r="G54" s="6"/>
    </row>
    <row r="55" spans="1:7" ht="15.75">
      <c r="A55" s="7" t="e">
        <f t="shared" si="2"/>
        <v>#NUM!</v>
      </c>
      <c r="B55" s="8"/>
      <c r="C55" s="5"/>
      <c r="D55" s="5"/>
      <c r="E55" s="4">
        <f t="shared" si="0"/>
        <v>0</v>
      </c>
      <c r="F55" s="36"/>
      <c r="G55" s="6"/>
    </row>
    <row r="56" spans="1:7" ht="15.75">
      <c r="A56" s="7" t="e">
        <f t="shared" si="2"/>
        <v>#NUM!</v>
      </c>
      <c r="B56" s="8"/>
      <c r="C56" s="5"/>
      <c r="D56" s="5"/>
      <c r="E56" s="4">
        <f t="shared" si="0"/>
        <v>0</v>
      </c>
      <c r="F56" s="36"/>
      <c r="G56" s="6"/>
    </row>
    <row r="57" spans="1:7" ht="15.75">
      <c r="A57" s="7" t="e">
        <f t="shared" si="2"/>
        <v>#NUM!</v>
      </c>
      <c r="B57" s="8"/>
      <c r="C57" s="5"/>
      <c r="D57" s="5"/>
      <c r="E57" s="4">
        <f t="shared" si="0"/>
        <v>0</v>
      </c>
      <c r="F57" s="36"/>
      <c r="G57" s="6"/>
    </row>
    <row r="58" spans="1:7" ht="15.75">
      <c r="A58" s="7" t="e">
        <f t="shared" si="2"/>
        <v>#NUM!</v>
      </c>
      <c r="B58" s="8"/>
      <c r="C58" s="5"/>
      <c r="D58" s="5"/>
      <c r="E58" s="4">
        <f t="shared" si="0"/>
        <v>0</v>
      </c>
      <c r="F58" s="36"/>
      <c r="G58" s="6"/>
    </row>
    <row r="59" spans="1:7" ht="15.75">
      <c r="A59" s="7" t="e">
        <f>DATE(0,0,0)</f>
        <v>#NUM!</v>
      </c>
      <c r="B59" s="8"/>
      <c r="C59" s="5"/>
      <c r="D59" s="5"/>
      <c r="E59" s="4">
        <f t="shared" si="0"/>
        <v>0</v>
      </c>
      <c r="F59" s="36"/>
      <c r="G59" s="6"/>
    </row>
    <row r="60" spans="1:7" ht="15.75">
      <c r="A60" s="7" t="e">
        <f t="shared" si="2"/>
        <v>#NUM!</v>
      </c>
      <c r="B60" s="8"/>
      <c r="C60" s="5"/>
      <c r="D60" s="5"/>
      <c r="E60" s="4">
        <f t="shared" si="0"/>
        <v>0</v>
      </c>
      <c r="F60" s="36"/>
      <c r="G60" s="6"/>
    </row>
    <row r="61" spans="1:7" ht="15.75">
      <c r="A61" s="7" t="e">
        <f t="shared" si="2"/>
        <v>#NUM!</v>
      </c>
      <c r="B61" s="8"/>
      <c r="C61" s="5"/>
      <c r="D61" s="5"/>
      <c r="E61" s="4">
        <f t="shared" si="0"/>
        <v>0</v>
      </c>
      <c r="F61" s="36"/>
      <c r="G61" s="6"/>
    </row>
    <row r="62" spans="1:7" ht="15.75">
      <c r="A62" s="7" t="e">
        <f t="shared" si="2"/>
        <v>#NUM!</v>
      </c>
      <c r="B62" s="8"/>
      <c r="C62" s="5"/>
      <c r="D62" s="5"/>
      <c r="E62" s="4">
        <f t="shared" si="0"/>
        <v>0</v>
      </c>
      <c r="F62" s="36"/>
      <c r="G62" s="6"/>
    </row>
    <row r="63" spans="1:7" ht="15.75">
      <c r="A63" s="7" t="e">
        <f t="shared" si="2"/>
        <v>#NUM!</v>
      </c>
      <c r="B63" s="8"/>
      <c r="C63" s="5"/>
      <c r="D63" s="5"/>
      <c r="E63" s="4">
        <f t="shared" si="0"/>
        <v>0</v>
      </c>
      <c r="F63" s="36"/>
      <c r="G63" s="6"/>
    </row>
    <row r="64" spans="1:7" ht="15.75">
      <c r="A64" s="7" t="e">
        <f t="shared" si="2"/>
        <v>#NUM!</v>
      </c>
      <c r="B64" s="8"/>
      <c r="C64" s="5"/>
      <c r="D64" s="5"/>
      <c r="E64" s="4">
        <f t="shared" si="0"/>
        <v>0</v>
      </c>
      <c r="F64" s="36"/>
      <c r="G64" s="6"/>
    </row>
    <row r="65" spans="1:7" ht="15.75">
      <c r="A65" s="7" t="e">
        <f t="shared" si="2"/>
        <v>#NUM!</v>
      </c>
      <c r="B65" s="8"/>
      <c r="C65" s="5"/>
      <c r="D65" s="5"/>
      <c r="E65" s="4">
        <f t="shared" si="0"/>
        <v>0</v>
      </c>
      <c r="F65" s="36"/>
      <c r="G65" s="6"/>
    </row>
    <row r="66" spans="1:7" ht="15.75">
      <c r="A66" s="7" t="e">
        <f t="shared" si="2"/>
        <v>#NUM!</v>
      </c>
      <c r="B66" s="8"/>
      <c r="C66" s="5"/>
      <c r="D66" s="5"/>
      <c r="E66" s="4">
        <f t="shared" si="0"/>
        <v>0</v>
      </c>
      <c r="F66" s="36"/>
      <c r="G66" s="6"/>
    </row>
  </sheetData>
  <mergeCells count="9">
    <mergeCell ref="A1:G1"/>
    <mergeCell ref="A8:A9"/>
    <mergeCell ref="B8:B9"/>
    <mergeCell ref="A17:A19"/>
    <mergeCell ref="B17:B19"/>
    <mergeCell ref="A10:A13"/>
    <mergeCell ref="B10:B13"/>
    <mergeCell ref="A3:A5"/>
    <mergeCell ref="B3:B5"/>
  </mergeCells>
  <pageMargins left="0.7" right="0.7" top="0.75" bottom="0.75" header="0.3" footer="0.3"/>
  <pageSetup orientation="portrait" r:id="rId1"/>
  <ignoredErrors>
    <ignoredError xmlns:x16r3="http://schemas.microsoft.com/office/spreadsheetml/2018/08/main" xmlns:x16r5="http://schemas.microsoft.com/office/spreadsheetml/2020/10/main" sqref="A1:G10 A30:G66 C12 E12 E13 C11:G11 E15 B21:G23 E16 E17 E18 E19 B25:G29 B24:E24 G24 E20 G20" evalError="1" twoDigitTextYear="1" numberStoredAsText="1" formula="1" formulaRange="1" unlockedFormula="1" emptyCellReference="1" listDataValidation="1" calculatedColumn="1" x16r3:misleadingFormat="1" x16r5:outdatedDataTypes="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7DFB23BD9BB14DBAA00A09D22FB835" ma:contentTypeVersion="8" ma:contentTypeDescription="Create a new document." ma:contentTypeScope="" ma:versionID="af90a80d488717b9ef607d954ef2a0cc">
  <xsd:schema xmlns:xsd="http://www.w3.org/2001/XMLSchema" xmlns:xs="http://www.w3.org/2001/XMLSchema" xmlns:p="http://schemas.microsoft.com/office/2006/metadata/properties" xmlns:ns2="eb5155ac-509b-4df1-8c7d-3e0eccb07f7b" targetNamespace="http://schemas.microsoft.com/office/2006/metadata/properties" ma:root="true" ma:fieldsID="739172f4ee1cecc2236a9a713f5b3cc3" ns2:_="">
    <xsd:import namespace="eb5155ac-509b-4df1-8c7d-3e0eccb07f7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5155ac-509b-4df1-8c7d-3e0eccb07f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57D166-8EA8-4FF4-BA63-99F61CC9521F}"/>
</file>

<file path=customXml/itemProps2.xml><?xml version="1.0" encoding="utf-8"?>
<ds:datastoreItem xmlns:ds="http://schemas.openxmlformats.org/officeDocument/2006/customXml" ds:itemID="{3C848546-BD1E-4019-A5DC-309A3DA91D28}"/>
</file>

<file path=customXml/itemProps3.xml><?xml version="1.0" encoding="utf-8"?>
<ds:datastoreItem xmlns:ds="http://schemas.openxmlformats.org/officeDocument/2006/customXml" ds:itemID="{F37759A6-EAF7-4ADE-BA86-C97ADF12DA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Demetrius Schank</dc:creator>
  <cp:keywords/>
  <dc:description/>
  <cp:lastModifiedBy>Demetrius Schank</cp:lastModifiedBy>
  <cp:revision/>
  <dcterms:created xsi:type="dcterms:W3CDTF">2025-08-28T15:14:35Z</dcterms:created>
  <dcterms:modified xsi:type="dcterms:W3CDTF">2026-02-11T17:50:34Z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0x010100797DFB23BD9BB14DBAA00A09D22FB835</vt:lpwstr>
  </property>
</Properties>
</file>